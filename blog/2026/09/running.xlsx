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josecaro/Desktop/Omega/training/"/>
    </mc:Choice>
  </mc:AlternateContent>
  <xr:revisionPtr revIDLastSave="0" documentId="13_ncr:1_{801A5559-94F6-8649-8B7B-CBA3DB8FEDCF}" xr6:coauthVersionLast="43" xr6:coauthVersionMax="43" xr10:uidLastSave="{00000000-0000-0000-0000-000000000000}"/>
  <bookViews>
    <workbookView xWindow="180" yWindow="460" windowWidth="18620" windowHeight="20540" activeTab="1" xr2:uid="{00000000-000D-0000-FFFF-FFFF00000000}"/>
  </bookViews>
  <sheets>
    <sheet name="2025" sheetId="4" r:id="rId1"/>
    <sheet name="2026" sheetId="5" r:id="rId2"/>
    <sheet name="Hoja1" sheetId="2" r:id="rId3"/>
    <sheet name="Hoja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299" i="5" l="1"/>
  <c r="F299" i="5"/>
  <c r="C366" i="4"/>
  <c r="E299" i="5"/>
  <c r="E241" i="5"/>
  <c r="C25" i="5"/>
  <c r="C23" i="5"/>
  <c r="C5" i="5" l="1"/>
  <c r="C3" i="5"/>
  <c r="C11" i="5"/>
  <c r="C6" i="5"/>
  <c r="B366" i="4" l="1"/>
  <c r="B363" i="4"/>
  <c r="B362" i="4"/>
  <c r="B361" i="4"/>
  <c r="B358" i="4"/>
  <c r="B357" i="4"/>
  <c r="B355" i="4"/>
  <c r="B354" i="4"/>
  <c r="B353" i="4"/>
  <c r="B352" i="4"/>
  <c r="B349" i="4"/>
  <c r="B348" i="4"/>
  <c r="B347" i="4"/>
  <c r="B346" i="4"/>
  <c r="B344" i="4"/>
  <c r="B341" i="4"/>
  <c r="B338" i="4"/>
  <c r="B337" i="4"/>
  <c r="B336" i="4"/>
  <c r="B333" i="4"/>
  <c r="B331" i="4"/>
  <c r="B329" i="4"/>
  <c r="B328" i="4"/>
  <c r="B327" i="4"/>
  <c r="B326" i="4"/>
  <c r="B322" i="4"/>
  <c r="B321" i="4"/>
  <c r="B315" i="4"/>
  <c r="B314" i="4"/>
  <c r="B313" i="4"/>
  <c r="B310" i="4"/>
  <c r="B309" i="4"/>
  <c r="B306" i="4"/>
  <c r="B305" i="4"/>
  <c r="B304" i="4"/>
  <c r="B301" i="4"/>
  <c r="B300" i="4"/>
  <c r="B297" i="4"/>
  <c r="B295" i="4"/>
  <c r="B294" i="4"/>
  <c r="B293" i="4"/>
  <c r="B292" i="4"/>
  <c r="B291" i="4"/>
  <c r="B288" i="4"/>
  <c r="B287" i="4"/>
  <c r="B285" i="4"/>
  <c r="B284" i="4"/>
  <c r="B283" i="4"/>
  <c r="B281" i="4"/>
  <c r="B280" i="4"/>
  <c r="B278" i="4"/>
  <c r="B276" i="4"/>
  <c r="B275" i="4"/>
  <c r="B274" i="4"/>
  <c r="B273" i="4"/>
  <c r="B271" i="4"/>
  <c r="B269" i="4"/>
  <c r="B267" i="4"/>
  <c r="B264" i="4"/>
  <c r="B261" i="4"/>
  <c r="B260" i="4"/>
  <c r="B259" i="4"/>
  <c r="B255" i="4"/>
  <c r="B254" i="4"/>
  <c r="B252" i="4"/>
  <c r="B251" i="4"/>
  <c r="B248" i="4"/>
  <c r="B247" i="4"/>
  <c r="B245" i="4"/>
  <c r="B243" i="4"/>
  <c r="B242" i="4"/>
  <c r="B237" i="4"/>
  <c r="B236" i="4"/>
  <c r="B235" i="4"/>
  <c r="B234" i="4"/>
  <c r="B488" i="2"/>
  <c r="B485" i="2"/>
  <c r="B484" i="2"/>
  <c r="B483" i="2"/>
  <c r="B480" i="2"/>
  <c r="B479" i="2"/>
  <c r="B477" i="2"/>
  <c r="B476" i="2"/>
  <c r="B475" i="2"/>
  <c r="B474" i="2"/>
  <c r="B471" i="2"/>
  <c r="B470" i="2"/>
  <c r="B469" i="2"/>
  <c r="B468" i="2"/>
  <c r="B466" i="2"/>
  <c r="B463" i="2"/>
  <c r="B460" i="2"/>
  <c r="B459" i="2"/>
  <c r="B458" i="2"/>
  <c r="B455" i="2"/>
  <c r="B453" i="2"/>
  <c r="B451" i="2"/>
  <c r="B450" i="2"/>
  <c r="B449" i="2"/>
  <c r="B448" i="2"/>
  <c r="B444" i="2"/>
  <c r="B443" i="2"/>
  <c r="B437" i="2"/>
  <c r="B436" i="2"/>
  <c r="B435" i="2"/>
  <c r="B432" i="2"/>
  <c r="B431" i="2"/>
  <c r="B428" i="2"/>
  <c r="B427" i="2"/>
  <c r="B426" i="2"/>
  <c r="B423" i="2"/>
  <c r="B422" i="2"/>
  <c r="B419" i="2"/>
  <c r="B417" i="2"/>
  <c r="B416" i="2"/>
  <c r="B415" i="2"/>
  <c r="B414" i="2"/>
  <c r="B413" i="2"/>
  <c r="B410" i="2"/>
  <c r="B409" i="2"/>
  <c r="B407" i="2"/>
  <c r="B406" i="2"/>
  <c r="B405" i="2"/>
  <c r="B403" i="2"/>
  <c r="B402" i="2"/>
  <c r="B400" i="2"/>
  <c r="B398" i="2"/>
  <c r="B397" i="2"/>
  <c r="B396" i="2"/>
  <c r="B395" i="2"/>
  <c r="B393" i="2"/>
  <c r="B391" i="2"/>
  <c r="B389" i="2"/>
  <c r="B386" i="2"/>
  <c r="B383" i="2"/>
  <c r="B382" i="2"/>
  <c r="B381" i="2"/>
  <c r="B377" i="2"/>
  <c r="B376" i="2"/>
  <c r="B374" i="2"/>
  <c r="B373" i="2"/>
  <c r="B370" i="2"/>
  <c r="B369" i="2"/>
  <c r="B367" i="2"/>
  <c r="B118" i="3"/>
  <c r="B115" i="3"/>
  <c r="B119" i="3"/>
  <c r="B120" i="3"/>
  <c r="B114" i="3"/>
  <c r="B112" i="3"/>
  <c r="B111" i="3"/>
  <c r="B110" i="3"/>
  <c r="B109" i="3"/>
  <c r="B123" i="3"/>
  <c r="B106" i="3" l="1"/>
  <c r="B98" i="3" l="1"/>
  <c r="B95" i="3"/>
  <c r="B94" i="3"/>
  <c r="B93" i="3"/>
  <c r="B104" i="3"/>
  <c r="B105" i="3"/>
  <c r="B103" i="3"/>
  <c r="B101" i="3"/>
  <c r="B90" i="3" l="1"/>
  <c r="B88" i="3"/>
  <c r="B86" i="3"/>
  <c r="B85" i="3"/>
  <c r="B84" i="3"/>
  <c r="B83" i="3"/>
  <c r="B79" i="3"/>
  <c r="B78" i="3" l="1"/>
  <c r="B72" i="3" l="1"/>
  <c r="B71" i="3" l="1"/>
  <c r="B66" i="3"/>
  <c r="B70" i="3"/>
  <c r="B67" i="3"/>
  <c r="B63" i="3" l="1"/>
  <c r="B61" i="3"/>
  <c r="B62" i="3"/>
  <c r="B58" i="3" l="1"/>
  <c r="B57" i="3" l="1"/>
  <c r="B52" i="3"/>
  <c r="B51" i="3"/>
  <c r="B54" i="3"/>
  <c r="B50" i="3" l="1"/>
  <c r="B49" i="3"/>
  <c r="B48" i="3"/>
  <c r="B45" i="3"/>
  <c r="B44" i="3" l="1"/>
  <c r="B38" i="3" l="1"/>
  <c r="B40" i="3"/>
  <c r="B41" i="3"/>
  <c r="B42" i="3"/>
  <c r="B37" i="3" l="1"/>
  <c r="B35" i="3" l="1"/>
  <c r="B33" i="3" l="1"/>
  <c r="B32" i="3"/>
  <c r="B31" i="3" l="1"/>
  <c r="B30" i="3"/>
  <c r="B28" i="3" l="1"/>
  <c r="B26" i="3"/>
  <c r="B24" i="3" l="1"/>
  <c r="B21" i="3" l="1"/>
  <c r="B18" i="3" l="1"/>
  <c r="B17" i="3"/>
  <c r="B16" i="3"/>
  <c r="B12" i="3" l="1"/>
  <c r="B11" i="3"/>
  <c r="B8" i="3" l="1"/>
  <c r="B9" i="3"/>
  <c r="B5" i="3" l="1"/>
  <c r="B4" i="3"/>
  <c r="B2" i="3"/>
  <c r="B120" i="2" l="1"/>
  <c r="B116" i="2"/>
  <c r="B113" i="2"/>
  <c r="B106" i="2"/>
  <c r="B99" i="2"/>
  <c r="B71" i="2"/>
  <c r="B85" i="2"/>
  <c r="B92" i="2"/>
  <c r="B50" i="2" l="1"/>
  <c r="B44" i="2"/>
  <c r="B365" i="2" l="1"/>
  <c r="B364" i="2"/>
  <c r="B359" i="2" l="1"/>
  <c r="B358" i="2" l="1"/>
  <c r="B357" i="2" l="1"/>
  <c r="B356" i="2" l="1"/>
</calcChain>
</file>

<file path=xl/sharedStrings.xml><?xml version="1.0" encoding="utf-8"?>
<sst xmlns="http://schemas.openxmlformats.org/spreadsheetml/2006/main" count="185" uniqueCount="10">
  <si>
    <t>date</t>
  </si>
  <si>
    <t>kms</t>
  </si>
  <si>
    <t>weight</t>
  </si>
  <si>
    <t>L</t>
  </si>
  <si>
    <t>M</t>
  </si>
  <si>
    <t>X</t>
  </si>
  <si>
    <t>J</t>
  </si>
  <si>
    <t>V</t>
  </si>
  <si>
    <t>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</si>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</sst>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indexed="8"/>
      <name val="Helvetica Neue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rgb="FFFF0000"/>
      <name val="Arial"/>
      <family val="2"/>
    </font>
    <font>
      <b/>
      <sz val="11"/>
      <color indexed="8"/>
      <name val="Helvetica Neue"/>
      <family val="2"/>
      <scheme val="major"/>
    </font>
    <font>
      <sz val="11"/>
      <color indexed="8"/>
      <name val="Helvetica Neue"/>
      <family val="2"/>
      <scheme val="major"/>
    </font>
    <font>
      <sz val="10"/>
      <color indexed="8"/>
      <name val="Helvetica Neue"/>
      <family val="2"/>
      <scheme val="major"/>
    </font>
    <font>
      <sz val="10"/>
      <color indexed="8"/>
      <name val="Arial"/>
      <family val="2"/>
    </font>
    <font>
      <b/>
      <sz val="10"/>
      <color rgb="FFFF0000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0" tint="-0.249977111117893"/>
      <name val="Helvetica Neue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1"/>
      </left>
      <right/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3">
    <xf numFmtId="0" fontId="0" fillId="0" borderId="0" xfId="0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2" fillId="0" borderId="3" xfId="0" applyNumberFormat="1" applyFont="1" applyBorder="1" applyAlignment="1">
      <alignment vertical="top" wrapText="1"/>
    </xf>
    <xf numFmtId="0" fontId="2" fillId="0" borderId="5" xfId="0" applyNumberFormat="1" applyFont="1" applyBorder="1" applyAlignment="1">
      <alignment vertical="top" wrapText="1"/>
    </xf>
    <xf numFmtId="0" fontId="2" fillId="4" borderId="5" xfId="0" applyNumberFormat="1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5" borderId="3" xfId="0" applyNumberFormat="1" applyFont="1" applyFill="1" applyBorder="1" applyAlignment="1">
      <alignment vertical="top" wrapText="1"/>
    </xf>
    <xf numFmtId="14" fontId="1" fillId="3" borderId="2" xfId="0" applyNumberFormat="1" applyFont="1" applyFill="1" applyBorder="1" applyAlignment="1">
      <alignment vertical="top" wrapText="1"/>
    </xf>
    <xf numFmtId="14" fontId="1" fillId="3" borderId="4" xfId="0" applyNumberFormat="1" applyFont="1" applyFill="1" applyBorder="1" applyAlignment="1">
      <alignment vertical="top" wrapText="1"/>
    </xf>
    <xf numFmtId="2" fontId="2" fillId="0" borderId="3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2" fontId="0" fillId="0" borderId="0" xfId="0" applyNumberFormat="1" applyFont="1" applyAlignment="1">
      <alignment vertical="top" wrapText="1"/>
    </xf>
    <xf numFmtId="2" fontId="2" fillId="6" borderId="3" xfId="0" applyNumberFormat="1" applyFont="1" applyFill="1" applyBorder="1" applyAlignment="1">
      <alignment vertical="top" wrapText="1"/>
    </xf>
    <xf numFmtId="2" fontId="2" fillId="7" borderId="3" xfId="0" applyNumberFormat="1" applyFont="1" applyFill="1" applyBorder="1" applyAlignment="1">
      <alignment vertical="top" wrapText="1"/>
    </xf>
    <xf numFmtId="2" fontId="2" fillId="8" borderId="3" xfId="0" applyNumberFormat="1" applyFont="1" applyFill="1" applyBorder="1" applyAlignment="1">
      <alignment vertical="top" wrapText="1"/>
    </xf>
    <xf numFmtId="2" fontId="2" fillId="9" borderId="3" xfId="0" applyNumberFormat="1" applyFont="1" applyFill="1" applyBorder="1" applyAlignment="1">
      <alignment vertical="top" wrapText="1"/>
    </xf>
    <xf numFmtId="2" fontId="2" fillId="10" borderId="3" xfId="0" applyNumberFormat="1" applyFont="1" applyFill="1" applyBorder="1" applyAlignment="1">
      <alignment vertical="top" wrapText="1"/>
    </xf>
    <xf numFmtId="2" fontId="2" fillId="11" borderId="3" xfId="0" applyNumberFormat="1" applyFont="1" applyFill="1" applyBorder="1" applyAlignment="1">
      <alignment vertical="top" wrapText="1"/>
    </xf>
    <xf numFmtId="2" fontId="2" fillId="12" borderId="3" xfId="0" applyNumberFormat="1" applyFont="1" applyFill="1" applyBorder="1" applyAlignment="1">
      <alignment vertical="top" wrapText="1"/>
    </xf>
    <xf numFmtId="14" fontId="3" fillId="3" borderId="2" xfId="0" applyNumberFormat="1" applyFont="1" applyFill="1" applyBorder="1" applyAlignment="1">
      <alignment vertical="top" wrapText="1"/>
    </xf>
    <xf numFmtId="2" fontId="2" fillId="13" borderId="3" xfId="0" applyNumberFormat="1" applyFont="1" applyFill="1" applyBorder="1" applyAlignment="1">
      <alignment vertical="top" wrapText="1"/>
    </xf>
    <xf numFmtId="2" fontId="2" fillId="14" borderId="3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164" fontId="5" fillId="0" borderId="3" xfId="0" applyNumberFormat="1" applyFont="1" applyFill="1" applyBorder="1" applyAlignment="1">
      <alignment vertical="top" wrapText="1"/>
    </xf>
    <xf numFmtId="164" fontId="6" fillId="11" borderId="3" xfId="0" applyNumberFormat="1" applyFont="1" applyFill="1" applyBorder="1" applyAlignment="1">
      <alignment vertical="top" wrapText="1"/>
    </xf>
    <xf numFmtId="164" fontId="6" fillId="12" borderId="3" xfId="0" applyNumberFormat="1" applyFont="1" applyFill="1" applyBorder="1" applyAlignment="1">
      <alignment vertical="top" wrapText="1"/>
    </xf>
    <xf numFmtId="164" fontId="6" fillId="13" borderId="3" xfId="0" applyNumberFormat="1" applyFont="1" applyFill="1" applyBorder="1" applyAlignment="1">
      <alignment vertical="top" wrapText="1"/>
    </xf>
    <xf numFmtId="164" fontId="6" fillId="14" borderId="3" xfId="0" applyNumberFormat="1" applyFont="1" applyFill="1" applyBorder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4" fontId="6" fillId="10" borderId="3" xfId="0" applyNumberFormat="1" applyFont="1" applyFill="1" applyBorder="1" applyAlignment="1">
      <alignment vertical="top" wrapText="1"/>
    </xf>
    <xf numFmtId="2" fontId="2" fillId="8" borderId="7" xfId="0" applyNumberFormat="1" applyFont="1" applyFill="1" applyBorder="1" applyAlignment="1">
      <alignment vertical="top" wrapText="1"/>
    </xf>
    <xf numFmtId="164" fontId="6" fillId="14" borderId="8" xfId="0" applyNumberFormat="1" applyFont="1" applyFill="1" applyBorder="1" applyAlignment="1">
      <alignment vertical="top" wrapText="1"/>
    </xf>
    <xf numFmtId="164" fontId="6" fillId="10" borderId="9" xfId="0" applyNumberFormat="1" applyFont="1" applyFill="1" applyBorder="1" applyAlignment="1">
      <alignment vertical="top" wrapText="1"/>
    </xf>
    <xf numFmtId="164" fontId="6" fillId="8" borderId="6" xfId="0" applyNumberFormat="1" applyFont="1" applyFill="1" applyBorder="1" applyAlignment="1">
      <alignment vertical="top" wrapText="1"/>
    </xf>
    <xf numFmtId="164" fontId="7" fillId="9" borderId="3" xfId="0" applyNumberFormat="1" applyFont="1" applyFill="1" applyBorder="1" applyAlignment="1">
      <alignment vertical="top" wrapText="1"/>
    </xf>
    <xf numFmtId="164" fontId="7" fillId="6" borderId="3" xfId="0" applyNumberFormat="1" applyFont="1" applyFill="1" applyBorder="1" applyAlignment="1">
      <alignment vertical="top" wrapText="1"/>
    </xf>
    <xf numFmtId="0" fontId="0" fillId="6" borderId="0" xfId="0" applyFont="1" applyFill="1" applyAlignment="1">
      <alignment vertical="top" wrapText="1"/>
    </xf>
    <xf numFmtId="164" fontId="0" fillId="6" borderId="0" xfId="0" applyNumberFormat="1" applyFont="1" applyFill="1" applyAlignment="1">
      <alignment vertical="top" wrapText="1"/>
    </xf>
    <xf numFmtId="0" fontId="0" fillId="12" borderId="0" xfId="0" applyFont="1" applyFill="1" applyAlignment="1">
      <alignment vertical="top" wrapText="1"/>
    </xf>
    <xf numFmtId="14" fontId="8" fillId="15" borderId="0" xfId="0" applyNumberFormat="1" applyFont="1" applyFill="1" applyAlignment="1">
      <alignment vertical="top" wrapText="1"/>
    </xf>
    <xf numFmtId="14" fontId="9" fillId="15" borderId="0" xfId="0" applyNumberFormat="1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164" fontId="0" fillId="0" borderId="0" xfId="0" applyNumberFormat="1" applyFont="1" applyAlignment="1">
      <alignment vertical="top" wrapText="1"/>
    </xf>
    <xf numFmtId="164" fontId="0" fillId="8" borderId="0" xfId="0" applyNumberFormat="1" applyFont="1" applyFill="1" applyAlignment="1">
      <alignment vertical="top" wrapText="1"/>
    </xf>
    <xf numFmtId="164" fontId="10" fillId="0" borderId="0" xfId="0" applyNumberFormat="1" applyFont="1" applyAlignment="1">
      <alignment vertical="top" wrapText="1"/>
    </xf>
    <xf numFmtId="164" fontId="0" fillId="0" borderId="10" xfId="0" applyNumberFormat="1" applyFont="1" applyBorder="1" applyAlignment="1">
      <alignment vertical="top" wrapText="1"/>
    </xf>
    <xf numFmtId="164" fontId="0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0" fillId="5" borderId="10" xfId="0" applyFont="1" applyFill="1" applyBorder="1" applyAlignment="1">
      <alignment vertical="top" wrapText="1"/>
    </xf>
    <xf numFmtId="0" fontId="0" fillId="11" borderId="0" xfId="0" applyFont="1" applyFill="1" applyAlignment="1">
      <alignment vertical="top" wrapText="1"/>
    </xf>
    <xf numFmtId="0" fontId="0" fillId="9" borderId="0" xfId="0" applyFont="1" applyFill="1" applyAlignment="1">
      <alignment vertical="top" wrapText="1"/>
    </xf>
    <xf numFmtId="164" fontId="0" fillId="9" borderId="0" xfId="0" applyNumberFormat="1" applyFont="1" applyFill="1" applyAlignment="1">
      <alignment vertical="top" wrapText="1"/>
    </xf>
    <xf numFmtId="164" fontId="10" fillId="9" borderId="0" xfId="0" applyNumberFormat="1" applyFont="1" applyFill="1" applyAlignment="1">
      <alignment vertical="top" wrapText="1"/>
    </xf>
    <xf numFmtId="164" fontId="0" fillId="12" borderId="0" xfId="0" applyNumberFormat="1" applyFont="1" applyFill="1" applyAlignment="1">
      <alignment vertical="top" wrapText="1"/>
    </xf>
    <xf numFmtId="164" fontId="0" fillId="11" borderId="0" xfId="0" applyNumberFormat="1" applyFont="1" applyFill="1" applyAlignment="1">
      <alignment vertical="top" wrapText="1"/>
    </xf>
    <xf numFmtId="164" fontId="0" fillId="7" borderId="0" xfId="0" applyNumberFormat="1" applyFont="1" applyFill="1" applyAlignment="1">
      <alignment vertical="top" wrapText="1"/>
    </xf>
    <xf numFmtId="0" fontId="0" fillId="7" borderId="0" xfId="0" applyFont="1" applyFill="1" applyAlignment="1">
      <alignment vertical="top" wrapText="1"/>
    </xf>
    <xf numFmtId="14" fontId="8" fillId="15" borderId="10" xfId="0" applyNumberFormat="1" applyFont="1" applyFill="1" applyBorder="1" applyAlignment="1">
      <alignment vertical="top" wrapText="1"/>
    </xf>
    <xf numFmtId="164" fontId="0" fillId="10" borderId="0" xfId="0" applyNumberFormat="1" applyFont="1" applyFill="1" applyAlignment="1">
      <alignment vertical="top" wrapText="1"/>
    </xf>
    <xf numFmtId="0" fontId="0" fillId="10" borderId="0" xfId="0" applyFont="1" applyFill="1" applyAlignment="1">
      <alignment vertical="top" wrapText="1"/>
    </xf>
    <xf numFmtId="164" fontId="0" fillId="8" borderId="10" xfId="0" applyNumberFormat="1" applyFont="1" applyFill="1" applyBorder="1" applyAlignment="1">
      <alignment vertical="top" wrapText="1"/>
    </xf>
    <xf numFmtId="164" fontId="0" fillId="16" borderId="0" xfId="0" applyNumberFormat="1" applyFont="1" applyFill="1" applyAlignment="1">
      <alignment vertical="top" wrapText="1"/>
    </xf>
    <xf numFmtId="0" fontId="0" fillId="16" borderId="0" xfId="0" applyFont="1" applyFill="1" applyAlignment="1">
      <alignment vertical="top" wrapText="1"/>
    </xf>
    <xf numFmtId="164" fontId="0" fillId="13" borderId="0" xfId="0" applyNumberFormat="1" applyFont="1" applyFill="1" applyAlignment="1">
      <alignment vertical="top" wrapText="1"/>
    </xf>
    <xf numFmtId="0" fontId="0" fillId="13" borderId="0" xfId="0" applyFont="1" applyFill="1" applyAlignment="1">
      <alignment vertical="top" wrapText="1"/>
    </xf>
    <xf numFmtId="164" fontId="11" fillId="0" borderId="0" xfId="0" applyNumberFormat="1" applyFont="1" applyAlignment="1">
      <alignment vertical="top" wrapText="1"/>
    </xf>
    <xf numFmtId="164" fontId="0" fillId="5" borderId="10" xfId="0" applyNumberFormat="1" applyFont="1" applyFill="1" applyBorder="1" applyAlignment="1">
      <alignment vertical="top" wrapText="1"/>
    </xf>
    <xf numFmtId="164" fontId="0" fillId="14" borderId="0" xfId="0" applyNumberFormat="1" applyFont="1" applyFill="1" applyAlignment="1">
      <alignment vertical="top" wrapText="1"/>
    </xf>
    <xf numFmtId="0" fontId="0" fillId="14" borderId="0" xfId="0" applyFont="1" applyFill="1" applyAlignment="1">
      <alignment vertical="top" wrapText="1"/>
    </xf>
    <xf numFmtId="14" fontId="9" fillId="15" borderId="1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B4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279400</xdr:colOff>
      <xdr:row>257</xdr:row>
      <xdr:rowOff>12700</xdr:rowOff>
    </xdr:from>
    <xdr:to>
      <xdr:col>15</xdr:col>
      <xdr:colOff>734435</xdr:colOff>
      <xdr:row>277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91F114-0706-764A-9479-7C5B08733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42722800"/>
          <a:ext cx="4582535" cy="3568700"/>
        </a:xfrm>
        <a:prstGeom prst="rect">
          <a:avLst/>
        </a:prstGeom>
      </xdr:spPr>
    </xdr:pic>
    <xdr:clientData/>
  </xdr:twoCellAnchor>
  <xdr:twoCellAnchor editAs="oneCell">
    <xdr:from>
      <xdr:col>4</xdr:col>
      <xdr:colOff>647700</xdr:colOff>
      <xdr:row>257</xdr:row>
      <xdr:rowOff>0</xdr:rowOff>
    </xdr:from>
    <xdr:to>
      <xdr:col>10</xdr:col>
      <xdr:colOff>269009</xdr:colOff>
      <xdr:row>277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A292E5-07E0-3C43-9353-7FB4993D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3800" y="42710100"/>
          <a:ext cx="4574309" cy="3594100"/>
        </a:xfrm>
        <a:prstGeom prst="rect">
          <a:avLst/>
        </a:prstGeom>
      </xdr:spPr>
    </xdr:pic>
    <xdr:clientData/>
  </xdr:twoCellAnchor>
  <xdr:twoCellAnchor>
    <xdr:from>
      <xdr:col>7</xdr:col>
      <xdr:colOff>292100</xdr:colOff>
      <xdr:row>275</xdr:row>
      <xdr:rowOff>50800</xdr:rowOff>
    </xdr:from>
    <xdr:to>
      <xdr:col>10</xdr:col>
      <xdr:colOff>63500</xdr:colOff>
      <xdr:row>276</xdr:row>
      <xdr:rowOff>139700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A9CD12A-1101-8D40-B6F4-EEA5A738A014}"/>
            </a:ext>
          </a:extLst>
        </xdr:cNvPr>
        <xdr:cNvSpPr/>
      </xdr:nvSpPr>
      <xdr:spPr>
        <a:xfrm>
          <a:off x="4584700" y="45961300"/>
          <a:ext cx="2247900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s-ES_tradnl" sz="1100"/>
        </a:p>
      </xdr:txBody>
    </xdr:sp>
    <xdr:clientData/>
  </xdr:twoCellAnchor>
  <xdr:twoCellAnchor>
    <xdr:from>
      <xdr:col>10</xdr:col>
      <xdr:colOff>419100</xdr:colOff>
      <xdr:row>263</xdr:row>
      <xdr:rowOff>76200</xdr:rowOff>
    </xdr:from>
    <xdr:to>
      <xdr:col>12</xdr:col>
      <xdr:colOff>419100</xdr:colOff>
      <xdr:row>265</xdr:row>
      <xdr:rowOff>50800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1642230F-803A-5F44-A76A-4207D458A410}"/>
            </a:ext>
          </a:extLst>
        </xdr:cNvPr>
        <xdr:cNvSpPr/>
      </xdr:nvSpPr>
      <xdr:spPr>
        <a:xfrm>
          <a:off x="7188200" y="43853100"/>
          <a:ext cx="1651000" cy="3302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s-ES_tradnl" sz="1100"/>
        </a:p>
      </xdr:txBody>
    </xdr:sp>
    <xdr:clientData/>
  </xdr:twoCellAnchor>
  <xdr:twoCellAnchor>
    <xdr:from>
      <xdr:col>12</xdr:col>
      <xdr:colOff>673100</xdr:colOff>
      <xdr:row>274</xdr:row>
      <xdr:rowOff>88900</xdr:rowOff>
    </xdr:from>
    <xdr:to>
      <xdr:col>13</xdr:col>
      <xdr:colOff>266700</xdr:colOff>
      <xdr:row>277</xdr:row>
      <xdr:rowOff>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6AF36011-E625-7448-9B32-B7C73BE99414}"/>
            </a:ext>
          </a:extLst>
        </xdr:cNvPr>
        <xdr:cNvSpPr/>
      </xdr:nvSpPr>
      <xdr:spPr>
        <a:xfrm>
          <a:off x="9093200" y="45821600"/>
          <a:ext cx="419100" cy="444500"/>
        </a:xfrm>
        <a:prstGeom prst="ellipse">
          <a:avLst/>
        </a:prstGeom>
        <a:noFill/>
        <a:ln w="38100" cap="flat">
          <a:solidFill>
            <a:srgbClr val="FF0000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ctr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0" lang="es-ES_tradnl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04CE-7F47-4041-BD24-D2D37A85190D}">
  <dimension ref="A1:C366"/>
  <sheetViews>
    <sheetView topLeftCell="A320" workbookViewId="0">
      <selection activeCell="C367" sqref="C367"/>
    </sheetView>
  </sheetViews>
  <sheetFormatPr baseColWidth="10" defaultRowHeight="13" x14ac:dyDescent="0.15"/>
  <sheetData>
    <row r="1" spans="1:2" ht="15" x14ac:dyDescent="0.15">
      <c r="A1" s="10" t="s">
        <v>0</v>
      </c>
      <c r="B1" s="10" t="s">
        <v>1</v>
      </c>
    </row>
    <row r="2" spans="1:2" ht="14" x14ac:dyDescent="0.15">
      <c r="A2" s="8">
        <v>45658</v>
      </c>
      <c r="B2" s="3">
        <v>15.5</v>
      </c>
    </row>
    <row r="3" spans="1:2" ht="14" x14ac:dyDescent="0.15">
      <c r="A3" s="8">
        <v>45659</v>
      </c>
      <c r="B3" s="3">
        <v>12</v>
      </c>
    </row>
    <row r="4" spans="1:2" ht="14" x14ac:dyDescent="0.15">
      <c r="A4" s="8">
        <v>45660</v>
      </c>
      <c r="B4" s="3">
        <v>10</v>
      </c>
    </row>
    <row r="5" spans="1:2" ht="14" x14ac:dyDescent="0.15">
      <c r="A5" s="8">
        <v>45661</v>
      </c>
      <c r="B5" s="3">
        <v>13.6</v>
      </c>
    </row>
    <row r="6" spans="1:2" ht="14" x14ac:dyDescent="0.15">
      <c r="A6" s="8">
        <v>45662</v>
      </c>
      <c r="B6" s="3">
        <v>15</v>
      </c>
    </row>
    <row r="7" spans="1:2" ht="14" x14ac:dyDescent="0.15">
      <c r="A7" s="8">
        <v>45663</v>
      </c>
      <c r="B7" s="3">
        <v>12</v>
      </c>
    </row>
    <row r="8" spans="1:2" ht="14" x14ac:dyDescent="0.15">
      <c r="A8" s="8">
        <v>45664</v>
      </c>
      <c r="B8" s="3">
        <v>11</v>
      </c>
    </row>
    <row r="9" spans="1:2" ht="14" x14ac:dyDescent="0.15">
      <c r="A9" s="8">
        <v>45665</v>
      </c>
      <c r="B9" s="3">
        <v>12</v>
      </c>
    </row>
    <row r="10" spans="1:2" ht="14" x14ac:dyDescent="0.15">
      <c r="A10" s="8">
        <v>45666</v>
      </c>
      <c r="B10" s="3">
        <v>12</v>
      </c>
    </row>
    <row r="11" spans="1:2" ht="14" x14ac:dyDescent="0.15">
      <c r="A11" s="8">
        <v>45667</v>
      </c>
      <c r="B11" s="3">
        <v>11</v>
      </c>
    </row>
    <row r="12" spans="1:2" ht="14" x14ac:dyDescent="0.15">
      <c r="A12" s="8">
        <v>45668</v>
      </c>
      <c r="B12" s="3">
        <v>14</v>
      </c>
    </row>
    <row r="13" spans="1:2" ht="14" x14ac:dyDescent="0.15">
      <c r="A13" s="8">
        <v>45669</v>
      </c>
      <c r="B13" s="3">
        <v>14</v>
      </c>
    </row>
    <row r="14" spans="1:2" ht="14" x14ac:dyDescent="0.15">
      <c r="A14" s="8">
        <v>45670</v>
      </c>
      <c r="B14" s="3">
        <v>9.5</v>
      </c>
    </row>
    <row r="15" spans="1:2" ht="14" x14ac:dyDescent="0.15">
      <c r="A15" s="8">
        <v>45671</v>
      </c>
      <c r="B15" s="3">
        <v>11.5</v>
      </c>
    </row>
    <row r="16" spans="1:2" ht="14" x14ac:dyDescent="0.15">
      <c r="A16" s="8">
        <v>45672</v>
      </c>
      <c r="B16" s="3">
        <v>11.5</v>
      </c>
    </row>
    <row r="17" spans="1:2" ht="14" x14ac:dyDescent="0.15">
      <c r="A17" s="8">
        <v>45673</v>
      </c>
      <c r="B17" s="3">
        <v>12</v>
      </c>
    </row>
    <row r="18" spans="1:2" ht="14" x14ac:dyDescent="0.15">
      <c r="A18" s="8">
        <v>45674</v>
      </c>
      <c r="B18" s="3">
        <v>11</v>
      </c>
    </row>
    <row r="19" spans="1:2" ht="14" x14ac:dyDescent="0.15">
      <c r="A19" s="8">
        <v>45675</v>
      </c>
      <c r="B19" s="3">
        <v>13</v>
      </c>
    </row>
    <row r="20" spans="1:2" ht="14" x14ac:dyDescent="0.15">
      <c r="A20" s="8">
        <v>45676</v>
      </c>
      <c r="B20" s="4">
        <v>0</v>
      </c>
    </row>
    <row r="21" spans="1:2" ht="14" x14ac:dyDescent="0.15">
      <c r="A21" s="8">
        <v>45677</v>
      </c>
      <c r="B21" s="3">
        <v>11.5</v>
      </c>
    </row>
    <row r="22" spans="1:2" ht="14" x14ac:dyDescent="0.15">
      <c r="A22" s="8">
        <v>45678</v>
      </c>
      <c r="B22" s="3">
        <v>11</v>
      </c>
    </row>
    <row r="23" spans="1:2" ht="14" x14ac:dyDescent="0.15">
      <c r="A23" s="8">
        <v>45679</v>
      </c>
      <c r="B23" s="3">
        <v>11</v>
      </c>
    </row>
    <row r="24" spans="1:2" ht="14" x14ac:dyDescent="0.15">
      <c r="A24" s="8">
        <v>45680</v>
      </c>
      <c r="B24" s="3">
        <v>12</v>
      </c>
    </row>
    <row r="25" spans="1:2" ht="14" x14ac:dyDescent="0.15">
      <c r="A25" s="8">
        <v>45681</v>
      </c>
      <c r="B25" s="3">
        <v>10.5</v>
      </c>
    </row>
    <row r="26" spans="1:2" ht="14" x14ac:dyDescent="0.15">
      <c r="A26" s="8">
        <v>45682</v>
      </c>
      <c r="B26" s="3">
        <v>13.35</v>
      </c>
    </row>
    <row r="27" spans="1:2" ht="14" x14ac:dyDescent="0.15">
      <c r="A27" s="8">
        <v>45683</v>
      </c>
      <c r="B27" s="3">
        <v>14</v>
      </c>
    </row>
    <row r="28" spans="1:2" ht="14" x14ac:dyDescent="0.15">
      <c r="A28" s="8">
        <v>45684</v>
      </c>
      <c r="B28" s="4">
        <v>0</v>
      </c>
    </row>
    <row r="29" spans="1:2" ht="14" x14ac:dyDescent="0.15">
      <c r="A29" s="8">
        <v>45685</v>
      </c>
      <c r="B29" s="3">
        <v>13</v>
      </c>
    </row>
    <row r="30" spans="1:2" ht="14" x14ac:dyDescent="0.15">
      <c r="A30" s="8">
        <v>45686</v>
      </c>
      <c r="B30" s="3">
        <v>11</v>
      </c>
    </row>
    <row r="31" spans="1:2" ht="14" x14ac:dyDescent="0.15">
      <c r="A31" s="8">
        <v>45687</v>
      </c>
      <c r="B31" s="3">
        <v>11</v>
      </c>
    </row>
    <row r="32" spans="1:2" ht="14" x14ac:dyDescent="0.15">
      <c r="A32" s="8">
        <v>45688</v>
      </c>
      <c r="B32" s="3">
        <v>11</v>
      </c>
    </row>
    <row r="33" spans="1:2" ht="14" x14ac:dyDescent="0.15">
      <c r="A33" s="8">
        <v>45689</v>
      </c>
      <c r="B33" s="3">
        <v>13.9</v>
      </c>
    </row>
    <row r="34" spans="1:2" ht="14" x14ac:dyDescent="0.15">
      <c r="A34" s="8">
        <v>45690</v>
      </c>
      <c r="B34" s="3">
        <v>16</v>
      </c>
    </row>
    <row r="35" spans="1:2" ht="14" x14ac:dyDescent="0.15">
      <c r="A35" s="8">
        <v>45691</v>
      </c>
      <c r="B35" s="3">
        <v>11</v>
      </c>
    </row>
    <row r="36" spans="1:2" ht="14" x14ac:dyDescent="0.15">
      <c r="A36" s="8">
        <v>45692</v>
      </c>
      <c r="B36" s="3">
        <v>12</v>
      </c>
    </row>
    <row r="37" spans="1:2" ht="14" x14ac:dyDescent="0.15">
      <c r="A37" s="8">
        <v>45693</v>
      </c>
      <c r="B37" s="3">
        <v>11</v>
      </c>
    </row>
    <row r="38" spans="1:2" ht="14" x14ac:dyDescent="0.15">
      <c r="A38" s="8">
        <v>45694</v>
      </c>
      <c r="B38" s="3">
        <v>11</v>
      </c>
    </row>
    <row r="39" spans="1:2" ht="14" x14ac:dyDescent="0.15">
      <c r="A39" s="8">
        <v>45695</v>
      </c>
      <c r="B39" s="3">
        <v>10</v>
      </c>
    </row>
    <row r="40" spans="1:2" ht="14" x14ac:dyDescent="0.15">
      <c r="A40" s="8">
        <v>45696</v>
      </c>
      <c r="B40" s="3">
        <v>14.1</v>
      </c>
    </row>
    <row r="41" spans="1:2" ht="14" x14ac:dyDescent="0.15">
      <c r="A41" s="8">
        <v>45697</v>
      </c>
      <c r="B41" s="3">
        <v>15</v>
      </c>
    </row>
    <row r="42" spans="1:2" ht="14" x14ac:dyDescent="0.15">
      <c r="A42" s="8">
        <v>45698</v>
      </c>
      <c r="B42" s="3">
        <v>11</v>
      </c>
    </row>
    <row r="43" spans="1:2" ht="14" x14ac:dyDescent="0.15">
      <c r="A43" s="8">
        <v>45699</v>
      </c>
      <c r="B43" s="3">
        <v>11.6</v>
      </c>
    </row>
    <row r="44" spans="1:2" ht="14" x14ac:dyDescent="0.15">
      <c r="A44" s="8">
        <v>45700</v>
      </c>
      <c r="B44" s="3">
        <v>11.3</v>
      </c>
    </row>
    <row r="45" spans="1:2" ht="14" x14ac:dyDescent="0.15">
      <c r="A45" s="8">
        <v>45701</v>
      </c>
      <c r="B45" s="3">
        <v>11.6</v>
      </c>
    </row>
    <row r="46" spans="1:2" ht="14" x14ac:dyDescent="0.15">
      <c r="A46" s="8">
        <v>45702</v>
      </c>
      <c r="B46" s="3">
        <v>11.3</v>
      </c>
    </row>
    <row r="47" spans="1:2" ht="14" x14ac:dyDescent="0.15">
      <c r="A47" s="8">
        <v>45703</v>
      </c>
      <c r="B47" s="3">
        <v>14.2</v>
      </c>
    </row>
    <row r="48" spans="1:2" ht="14" x14ac:dyDescent="0.15">
      <c r="A48" s="8">
        <v>45704</v>
      </c>
      <c r="B48" s="3">
        <v>14</v>
      </c>
    </row>
    <row r="49" spans="1:2" ht="14" x14ac:dyDescent="0.15">
      <c r="A49" s="8">
        <v>45705</v>
      </c>
      <c r="B49" s="3">
        <v>11.5</v>
      </c>
    </row>
    <row r="50" spans="1:2" ht="14" x14ac:dyDescent="0.15">
      <c r="A50" s="8">
        <v>45706</v>
      </c>
      <c r="B50" s="4">
        <v>0</v>
      </c>
    </row>
    <row r="51" spans="1:2" ht="14" x14ac:dyDescent="0.15">
      <c r="A51" s="8">
        <v>45707</v>
      </c>
      <c r="B51" s="3">
        <v>11.5</v>
      </c>
    </row>
    <row r="52" spans="1:2" ht="14" x14ac:dyDescent="0.15">
      <c r="A52" s="8">
        <v>45708</v>
      </c>
      <c r="B52" s="3">
        <v>11.5</v>
      </c>
    </row>
    <row r="53" spans="1:2" ht="14" x14ac:dyDescent="0.15">
      <c r="A53" s="8">
        <v>45709</v>
      </c>
      <c r="B53" s="3">
        <v>11</v>
      </c>
    </row>
    <row r="54" spans="1:2" ht="14" x14ac:dyDescent="0.15">
      <c r="A54" s="8">
        <v>45710</v>
      </c>
      <c r="B54" s="3">
        <v>15.2</v>
      </c>
    </row>
    <row r="55" spans="1:2" ht="14" x14ac:dyDescent="0.15">
      <c r="A55" s="8">
        <v>45711</v>
      </c>
      <c r="B55" s="4">
        <v>0</v>
      </c>
    </row>
    <row r="56" spans="1:2" ht="14" x14ac:dyDescent="0.15">
      <c r="A56" s="8">
        <v>45712</v>
      </c>
      <c r="B56" s="3">
        <v>12.5</v>
      </c>
    </row>
    <row r="57" spans="1:2" ht="14" x14ac:dyDescent="0.15">
      <c r="A57" s="8">
        <v>45713</v>
      </c>
      <c r="B57" s="3">
        <v>11.5</v>
      </c>
    </row>
    <row r="58" spans="1:2" ht="14" x14ac:dyDescent="0.15">
      <c r="A58" s="8">
        <v>45714</v>
      </c>
      <c r="B58" s="3">
        <v>11</v>
      </c>
    </row>
    <row r="59" spans="1:2" ht="14" x14ac:dyDescent="0.15">
      <c r="A59" s="8">
        <v>45715</v>
      </c>
      <c r="B59" s="3">
        <v>11.5</v>
      </c>
    </row>
    <row r="60" spans="1:2" ht="14" x14ac:dyDescent="0.15">
      <c r="A60" s="8">
        <v>45716</v>
      </c>
      <c r="B60" s="3">
        <v>20</v>
      </c>
    </row>
    <row r="61" spans="1:2" ht="14" x14ac:dyDescent="0.15">
      <c r="A61" s="8">
        <v>45717</v>
      </c>
      <c r="B61" s="3">
        <v>13.8</v>
      </c>
    </row>
    <row r="62" spans="1:2" ht="14" x14ac:dyDescent="0.15">
      <c r="A62" s="8">
        <v>45718</v>
      </c>
      <c r="B62" s="3">
        <v>15</v>
      </c>
    </row>
    <row r="63" spans="1:2" ht="14" x14ac:dyDescent="0.15">
      <c r="A63" s="8">
        <v>45719</v>
      </c>
      <c r="B63" s="3">
        <v>11.25</v>
      </c>
    </row>
    <row r="64" spans="1:2" ht="14" x14ac:dyDescent="0.15">
      <c r="A64" s="8">
        <v>45720</v>
      </c>
      <c r="B64" s="3">
        <v>12</v>
      </c>
    </row>
    <row r="65" spans="1:2" ht="14" x14ac:dyDescent="0.15">
      <c r="A65" s="8">
        <v>45721</v>
      </c>
      <c r="B65" s="3">
        <v>11.5</v>
      </c>
    </row>
    <row r="66" spans="1:2" ht="14" x14ac:dyDescent="0.15">
      <c r="A66" s="8">
        <v>45722</v>
      </c>
      <c r="B66" s="3">
        <v>11.5</v>
      </c>
    </row>
    <row r="67" spans="1:2" ht="14" x14ac:dyDescent="0.15">
      <c r="A67" s="8">
        <v>45723</v>
      </c>
      <c r="B67" s="3">
        <v>11</v>
      </c>
    </row>
    <row r="68" spans="1:2" ht="14" x14ac:dyDescent="0.15">
      <c r="A68" s="8">
        <v>45724</v>
      </c>
      <c r="B68" s="3">
        <v>16</v>
      </c>
    </row>
    <row r="69" spans="1:2" ht="14" x14ac:dyDescent="0.15">
      <c r="A69" s="8">
        <v>45725</v>
      </c>
      <c r="B69" s="3">
        <v>16</v>
      </c>
    </row>
    <row r="70" spans="1:2" ht="14" x14ac:dyDescent="0.15">
      <c r="A70" s="8">
        <v>45726</v>
      </c>
      <c r="B70" s="3">
        <v>11.25</v>
      </c>
    </row>
    <row r="71" spans="1:2" ht="14" x14ac:dyDescent="0.15">
      <c r="A71" s="8">
        <v>45727</v>
      </c>
      <c r="B71" s="4">
        <v>0</v>
      </c>
    </row>
    <row r="72" spans="1:2" ht="14" x14ac:dyDescent="0.15">
      <c r="A72" s="8">
        <v>45728</v>
      </c>
      <c r="B72" s="3">
        <v>12</v>
      </c>
    </row>
    <row r="73" spans="1:2" ht="14" x14ac:dyDescent="0.15">
      <c r="A73" s="8">
        <v>45729</v>
      </c>
      <c r="B73" s="3">
        <v>10</v>
      </c>
    </row>
    <row r="74" spans="1:2" ht="14" x14ac:dyDescent="0.15">
      <c r="A74" s="8">
        <v>45730</v>
      </c>
      <c r="B74" s="3">
        <v>12</v>
      </c>
    </row>
    <row r="75" spans="1:2" ht="14" x14ac:dyDescent="0.15">
      <c r="A75" s="8">
        <v>45731</v>
      </c>
      <c r="B75" s="3">
        <v>15.4</v>
      </c>
    </row>
    <row r="76" spans="1:2" ht="14" x14ac:dyDescent="0.15">
      <c r="A76" s="8">
        <v>45732</v>
      </c>
      <c r="B76" s="3">
        <v>16.5</v>
      </c>
    </row>
    <row r="77" spans="1:2" ht="14" x14ac:dyDescent="0.15">
      <c r="A77" s="8">
        <v>45733</v>
      </c>
      <c r="B77" s="3">
        <v>6.3</v>
      </c>
    </row>
    <row r="78" spans="1:2" ht="14" x14ac:dyDescent="0.15">
      <c r="A78" s="8">
        <v>45734</v>
      </c>
      <c r="B78" s="3">
        <v>14</v>
      </c>
    </row>
    <row r="79" spans="1:2" ht="14" x14ac:dyDescent="0.15">
      <c r="A79" s="8">
        <v>45735</v>
      </c>
      <c r="B79" s="3">
        <v>12</v>
      </c>
    </row>
    <row r="80" spans="1:2" ht="14" x14ac:dyDescent="0.15">
      <c r="A80" s="8">
        <v>45736</v>
      </c>
      <c r="B80" s="3">
        <v>11</v>
      </c>
    </row>
    <row r="81" spans="1:2" ht="14" x14ac:dyDescent="0.15">
      <c r="A81" s="8">
        <v>45737</v>
      </c>
      <c r="B81" s="3">
        <v>11.5</v>
      </c>
    </row>
    <row r="82" spans="1:2" ht="14" x14ac:dyDescent="0.15">
      <c r="A82" s="8">
        <v>45738</v>
      </c>
      <c r="B82" s="3">
        <v>13</v>
      </c>
    </row>
    <row r="83" spans="1:2" ht="14" x14ac:dyDescent="0.15">
      <c r="A83" s="8">
        <v>45739</v>
      </c>
      <c r="B83" s="4">
        <v>0</v>
      </c>
    </row>
    <row r="84" spans="1:2" ht="14" x14ac:dyDescent="0.15">
      <c r="A84" s="8">
        <v>45740</v>
      </c>
      <c r="B84" s="4">
        <v>0</v>
      </c>
    </row>
    <row r="85" spans="1:2" ht="14" x14ac:dyDescent="0.15">
      <c r="A85" s="8">
        <v>45741</v>
      </c>
      <c r="B85" s="3">
        <v>11</v>
      </c>
    </row>
    <row r="86" spans="1:2" ht="14" x14ac:dyDescent="0.15">
      <c r="A86" s="8">
        <v>45742</v>
      </c>
      <c r="B86" s="3">
        <v>11</v>
      </c>
    </row>
    <row r="87" spans="1:2" ht="14" x14ac:dyDescent="0.15">
      <c r="A87" s="8">
        <v>45743</v>
      </c>
      <c r="B87" s="3">
        <v>12</v>
      </c>
    </row>
    <row r="88" spans="1:2" ht="14" x14ac:dyDescent="0.15">
      <c r="A88" s="8">
        <v>45744</v>
      </c>
      <c r="B88" s="4">
        <v>0</v>
      </c>
    </row>
    <row r="89" spans="1:2" ht="14" x14ac:dyDescent="0.15">
      <c r="A89" s="8">
        <v>45745</v>
      </c>
      <c r="B89" s="3">
        <v>14</v>
      </c>
    </row>
    <row r="90" spans="1:2" ht="14" x14ac:dyDescent="0.15">
      <c r="A90" s="8">
        <v>45746</v>
      </c>
      <c r="B90" s="3">
        <v>15</v>
      </c>
    </row>
    <row r="91" spans="1:2" ht="14" x14ac:dyDescent="0.15">
      <c r="A91" s="8">
        <v>45747</v>
      </c>
      <c r="B91" s="3">
        <v>11</v>
      </c>
    </row>
    <row r="92" spans="1:2" ht="14" x14ac:dyDescent="0.15">
      <c r="A92" s="8">
        <v>45748</v>
      </c>
      <c r="B92" s="3">
        <v>12</v>
      </c>
    </row>
    <row r="93" spans="1:2" ht="14" x14ac:dyDescent="0.15">
      <c r="A93" s="8">
        <v>45749</v>
      </c>
      <c r="B93" s="3">
        <v>19</v>
      </c>
    </row>
    <row r="94" spans="1:2" ht="14" x14ac:dyDescent="0.15">
      <c r="A94" s="8">
        <v>45750</v>
      </c>
      <c r="B94" s="3">
        <v>14</v>
      </c>
    </row>
    <row r="95" spans="1:2" ht="14" x14ac:dyDescent="0.15">
      <c r="A95" s="8">
        <v>45751</v>
      </c>
      <c r="B95" s="3">
        <v>11</v>
      </c>
    </row>
    <row r="96" spans="1:2" ht="14" x14ac:dyDescent="0.15">
      <c r="A96" s="8">
        <v>45752</v>
      </c>
      <c r="B96" s="3">
        <v>13.3</v>
      </c>
    </row>
    <row r="97" spans="1:2" ht="14" x14ac:dyDescent="0.15">
      <c r="A97" s="8">
        <v>45753</v>
      </c>
      <c r="B97" s="3">
        <v>15.5</v>
      </c>
    </row>
    <row r="98" spans="1:2" ht="14" x14ac:dyDescent="0.15">
      <c r="A98" s="8">
        <v>45754</v>
      </c>
      <c r="B98" s="3">
        <v>11.5</v>
      </c>
    </row>
    <row r="99" spans="1:2" ht="14" x14ac:dyDescent="0.15">
      <c r="A99" s="8">
        <v>45755</v>
      </c>
      <c r="B99" s="3">
        <v>14</v>
      </c>
    </row>
    <row r="100" spans="1:2" ht="14" x14ac:dyDescent="0.15">
      <c r="A100" s="8">
        <v>45756</v>
      </c>
      <c r="B100" s="3">
        <v>18.8</v>
      </c>
    </row>
    <row r="101" spans="1:2" ht="14" x14ac:dyDescent="0.15">
      <c r="A101" s="8">
        <v>45757</v>
      </c>
      <c r="B101" s="3">
        <v>11.56</v>
      </c>
    </row>
    <row r="102" spans="1:2" ht="14" x14ac:dyDescent="0.15">
      <c r="A102" s="8">
        <v>45758</v>
      </c>
      <c r="B102" s="3">
        <v>10.8</v>
      </c>
    </row>
    <row r="103" spans="1:2" ht="14" x14ac:dyDescent="0.15">
      <c r="A103" s="8">
        <v>45759</v>
      </c>
      <c r="B103" s="3">
        <v>14.55</v>
      </c>
    </row>
    <row r="104" spans="1:2" ht="14" x14ac:dyDescent="0.15">
      <c r="A104" s="8">
        <v>45760</v>
      </c>
      <c r="B104" s="3">
        <v>15</v>
      </c>
    </row>
    <row r="105" spans="1:2" ht="14" x14ac:dyDescent="0.15">
      <c r="A105" s="8">
        <v>45761</v>
      </c>
      <c r="B105" s="3">
        <v>12</v>
      </c>
    </row>
    <row r="106" spans="1:2" ht="14" x14ac:dyDescent="0.15">
      <c r="A106" s="8">
        <v>45762</v>
      </c>
      <c r="B106" s="3">
        <v>12.5</v>
      </c>
    </row>
    <row r="107" spans="1:2" ht="14" x14ac:dyDescent="0.15">
      <c r="A107" s="8">
        <v>45763</v>
      </c>
      <c r="B107" s="3">
        <v>13.5</v>
      </c>
    </row>
    <row r="108" spans="1:2" ht="14" x14ac:dyDescent="0.15">
      <c r="A108" s="8">
        <v>45764</v>
      </c>
      <c r="B108" s="3">
        <v>15.5</v>
      </c>
    </row>
    <row r="109" spans="1:2" ht="14" x14ac:dyDescent="0.15">
      <c r="A109" s="8">
        <v>45765</v>
      </c>
      <c r="B109" s="3">
        <v>12</v>
      </c>
    </row>
    <row r="110" spans="1:2" ht="14" x14ac:dyDescent="0.15">
      <c r="A110" s="8">
        <v>45766</v>
      </c>
      <c r="B110" s="3">
        <v>12</v>
      </c>
    </row>
    <row r="111" spans="1:2" ht="14" x14ac:dyDescent="0.15">
      <c r="A111" s="8">
        <v>45767</v>
      </c>
      <c r="B111" s="3">
        <v>14</v>
      </c>
    </row>
    <row r="112" spans="1:2" ht="14" x14ac:dyDescent="0.15">
      <c r="A112" s="8">
        <v>45768</v>
      </c>
      <c r="B112" s="3">
        <v>11.5</v>
      </c>
    </row>
    <row r="113" spans="1:2" ht="14" x14ac:dyDescent="0.15">
      <c r="A113" s="8">
        <v>45769</v>
      </c>
      <c r="B113" s="3">
        <v>12.5</v>
      </c>
    </row>
    <row r="114" spans="1:2" ht="14" x14ac:dyDescent="0.15">
      <c r="A114" s="8">
        <v>45770</v>
      </c>
      <c r="B114" s="3">
        <v>18.3</v>
      </c>
    </row>
    <row r="115" spans="1:2" ht="14" x14ac:dyDescent="0.15">
      <c r="A115" s="8">
        <v>45771</v>
      </c>
      <c r="B115" s="3">
        <v>11.6</v>
      </c>
    </row>
    <row r="116" spans="1:2" ht="14" x14ac:dyDescent="0.15">
      <c r="A116" s="8">
        <v>45772</v>
      </c>
      <c r="B116" s="3">
        <v>11.5</v>
      </c>
    </row>
    <row r="117" spans="1:2" ht="14" x14ac:dyDescent="0.15">
      <c r="A117" s="8">
        <v>45773</v>
      </c>
      <c r="B117" s="3">
        <v>14.3</v>
      </c>
    </row>
    <row r="118" spans="1:2" ht="14" x14ac:dyDescent="0.15">
      <c r="A118" s="8">
        <v>45774</v>
      </c>
      <c r="B118" s="3">
        <v>15</v>
      </c>
    </row>
    <row r="119" spans="1:2" ht="14" x14ac:dyDescent="0.15">
      <c r="A119" s="8">
        <v>45775</v>
      </c>
      <c r="B119" s="3">
        <v>21.5</v>
      </c>
    </row>
    <row r="120" spans="1:2" ht="14" x14ac:dyDescent="0.15">
      <c r="A120" s="8">
        <v>45776</v>
      </c>
      <c r="B120" s="3">
        <v>23</v>
      </c>
    </row>
    <row r="121" spans="1:2" ht="14" x14ac:dyDescent="0.15">
      <c r="A121" s="8">
        <v>45777</v>
      </c>
      <c r="B121" s="3">
        <v>12</v>
      </c>
    </row>
    <row r="122" spans="1:2" ht="14" x14ac:dyDescent="0.15">
      <c r="A122" s="8">
        <v>45778</v>
      </c>
      <c r="B122" s="3">
        <v>12</v>
      </c>
    </row>
    <row r="123" spans="1:2" ht="14" x14ac:dyDescent="0.15">
      <c r="A123" s="8">
        <v>45779</v>
      </c>
      <c r="B123" s="3">
        <v>8</v>
      </c>
    </row>
    <row r="124" spans="1:2" ht="14" x14ac:dyDescent="0.15">
      <c r="A124" s="8">
        <v>45780</v>
      </c>
      <c r="B124" s="3">
        <v>12.76</v>
      </c>
    </row>
    <row r="125" spans="1:2" ht="14" x14ac:dyDescent="0.15">
      <c r="A125" s="8">
        <v>45781</v>
      </c>
      <c r="B125" s="3">
        <v>14</v>
      </c>
    </row>
    <row r="126" spans="1:2" ht="14" x14ac:dyDescent="0.15">
      <c r="A126" s="8">
        <v>45782</v>
      </c>
      <c r="B126" s="3">
        <v>11.5</v>
      </c>
    </row>
    <row r="127" spans="1:2" ht="14" x14ac:dyDescent="0.15">
      <c r="A127" s="8">
        <v>45783</v>
      </c>
      <c r="B127" s="3">
        <v>14</v>
      </c>
    </row>
    <row r="128" spans="1:2" ht="14" x14ac:dyDescent="0.15">
      <c r="A128" s="8">
        <v>45784</v>
      </c>
      <c r="B128" s="3">
        <v>18.5</v>
      </c>
    </row>
    <row r="129" spans="1:2" ht="14" x14ac:dyDescent="0.15">
      <c r="A129" s="8">
        <v>45785</v>
      </c>
      <c r="B129" s="3">
        <v>11.5</v>
      </c>
    </row>
    <row r="130" spans="1:2" ht="14" x14ac:dyDescent="0.15">
      <c r="A130" s="8">
        <v>45786</v>
      </c>
      <c r="B130" s="3">
        <v>11.5</v>
      </c>
    </row>
    <row r="131" spans="1:2" ht="14" x14ac:dyDescent="0.15">
      <c r="A131" s="8">
        <v>45787</v>
      </c>
      <c r="B131" s="3">
        <v>15.3</v>
      </c>
    </row>
    <row r="132" spans="1:2" ht="14" x14ac:dyDescent="0.15">
      <c r="A132" s="8">
        <v>45788</v>
      </c>
      <c r="B132" s="3">
        <v>15</v>
      </c>
    </row>
    <row r="133" spans="1:2" ht="14" x14ac:dyDescent="0.15">
      <c r="A133" s="8">
        <v>45789</v>
      </c>
      <c r="B133" s="3">
        <v>11</v>
      </c>
    </row>
    <row r="134" spans="1:2" ht="14" x14ac:dyDescent="0.15">
      <c r="A134" s="8">
        <v>45790</v>
      </c>
      <c r="B134" s="3">
        <v>12</v>
      </c>
    </row>
    <row r="135" spans="1:2" ht="14" x14ac:dyDescent="0.15">
      <c r="A135" s="8">
        <v>45791</v>
      </c>
      <c r="B135" s="3">
        <v>18.5</v>
      </c>
    </row>
    <row r="136" spans="1:2" ht="14" x14ac:dyDescent="0.15">
      <c r="A136" s="8">
        <v>45792</v>
      </c>
      <c r="B136" s="3">
        <v>12</v>
      </c>
    </row>
    <row r="137" spans="1:2" ht="14" x14ac:dyDescent="0.15">
      <c r="A137" s="8">
        <v>45793</v>
      </c>
      <c r="B137" s="3">
        <v>11.5</v>
      </c>
    </row>
    <row r="138" spans="1:2" ht="14" x14ac:dyDescent="0.15">
      <c r="A138" s="8">
        <v>45794</v>
      </c>
      <c r="B138" s="3">
        <v>15</v>
      </c>
    </row>
    <row r="139" spans="1:2" ht="14" x14ac:dyDescent="0.15">
      <c r="A139" s="8">
        <v>45795</v>
      </c>
      <c r="B139" s="3">
        <v>14.5</v>
      </c>
    </row>
    <row r="140" spans="1:2" ht="14" x14ac:dyDescent="0.15">
      <c r="A140" s="8">
        <v>45796</v>
      </c>
      <c r="B140" s="3">
        <v>11.5</v>
      </c>
    </row>
    <row r="141" spans="1:2" ht="14" x14ac:dyDescent="0.15">
      <c r="A141" s="8">
        <v>45797</v>
      </c>
      <c r="B141" s="3">
        <v>11</v>
      </c>
    </row>
    <row r="142" spans="1:2" ht="14" x14ac:dyDescent="0.15">
      <c r="A142" s="8">
        <v>45798</v>
      </c>
      <c r="B142" s="3">
        <v>11.5</v>
      </c>
    </row>
    <row r="143" spans="1:2" ht="14" x14ac:dyDescent="0.15">
      <c r="A143" s="8">
        <v>45799</v>
      </c>
      <c r="B143" s="3">
        <v>12.3</v>
      </c>
    </row>
    <row r="144" spans="1:2" ht="14" x14ac:dyDescent="0.15">
      <c r="A144" s="8">
        <v>45800</v>
      </c>
      <c r="B144" s="3">
        <v>11.75</v>
      </c>
    </row>
    <row r="145" spans="1:2" ht="14" x14ac:dyDescent="0.15">
      <c r="A145" s="8">
        <v>45801</v>
      </c>
      <c r="B145" s="3">
        <v>17.5</v>
      </c>
    </row>
    <row r="146" spans="1:2" ht="14" x14ac:dyDescent="0.15">
      <c r="A146" s="8">
        <v>45802</v>
      </c>
      <c r="B146" s="3">
        <v>15</v>
      </c>
    </row>
    <row r="147" spans="1:2" ht="14" x14ac:dyDescent="0.15">
      <c r="A147" s="8">
        <v>45803</v>
      </c>
      <c r="B147" s="3">
        <v>18.5</v>
      </c>
    </row>
    <row r="148" spans="1:2" ht="14" x14ac:dyDescent="0.15">
      <c r="A148" s="8">
        <v>45804</v>
      </c>
      <c r="B148" s="3">
        <v>10</v>
      </c>
    </row>
    <row r="149" spans="1:2" ht="14" x14ac:dyDescent="0.15">
      <c r="A149" s="8">
        <v>45805</v>
      </c>
      <c r="B149" s="3">
        <v>21.5</v>
      </c>
    </row>
    <row r="150" spans="1:2" ht="14" x14ac:dyDescent="0.15">
      <c r="A150" s="8">
        <v>45806</v>
      </c>
      <c r="B150" s="4">
        <v>0</v>
      </c>
    </row>
    <row r="151" spans="1:2" ht="14" x14ac:dyDescent="0.15">
      <c r="A151" s="8">
        <v>45807</v>
      </c>
      <c r="B151" s="3">
        <v>12.5</v>
      </c>
    </row>
    <row r="152" spans="1:2" ht="14" x14ac:dyDescent="0.15">
      <c r="A152" s="8">
        <v>45808</v>
      </c>
      <c r="B152" s="3">
        <v>13</v>
      </c>
    </row>
    <row r="153" spans="1:2" ht="14" x14ac:dyDescent="0.15">
      <c r="A153" s="8">
        <v>45809</v>
      </c>
      <c r="B153" s="3">
        <v>15</v>
      </c>
    </row>
    <row r="154" spans="1:2" ht="14" x14ac:dyDescent="0.15">
      <c r="A154" s="8">
        <v>45810</v>
      </c>
      <c r="B154" s="3">
        <v>11.8</v>
      </c>
    </row>
    <row r="155" spans="1:2" ht="14" x14ac:dyDescent="0.15">
      <c r="A155" s="8">
        <v>45811</v>
      </c>
      <c r="B155" s="3">
        <v>11.8</v>
      </c>
    </row>
    <row r="156" spans="1:2" ht="14" x14ac:dyDescent="0.15">
      <c r="A156" s="8">
        <v>45812</v>
      </c>
      <c r="B156" s="3">
        <v>11</v>
      </c>
    </row>
    <row r="157" spans="1:2" ht="14" x14ac:dyDescent="0.15">
      <c r="A157" s="8">
        <v>45813</v>
      </c>
      <c r="B157" s="3">
        <v>12</v>
      </c>
    </row>
    <row r="158" spans="1:2" ht="14" x14ac:dyDescent="0.15">
      <c r="A158" s="8">
        <v>45814</v>
      </c>
      <c r="B158" s="3">
        <v>11.5</v>
      </c>
    </row>
    <row r="159" spans="1:2" ht="14" x14ac:dyDescent="0.15">
      <c r="A159" s="8">
        <v>45815</v>
      </c>
      <c r="B159" s="3">
        <v>14.5</v>
      </c>
    </row>
    <row r="160" spans="1:2" ht="14" x14ac:dyDescent="0.15">
      <c r="A160" s="8">
        <v>45816</v>
      </c>
      <c r="B160" s="3">
        <v>15</v>
      </c>
    </row>
    <row r="161" spans="1:2" ht="14" x14ac:dyDescent="0.15">
      <c r="A161" s="8">
        <v>45817</v>
      </c>
      <c r="B161" s="3">
        <v>12</v>
      </c>
    </row>
    <row r="162" spans="1:2" ht="14" x14ac:dyDescent="0.15">
      <c r="A162" s="8">
        <v>45818</v>
      </c>
      <c r="B162" s="3">
        <v>12</v>
      </c>
    </row>
    <row r="163" spans="1:2" ht="14" x14ac:dyDescent="0.15">
      <c r="A163" s="8">
        <v>45819</v>
      </c>
      <c r="B163" s="3">
        <v>11.7</v>
      </c>
    </row>
    <row r="164" spans="1:2" ht="14" x14ac:dyDescent="0.15">
      <c r="A164" s="8">
        <v>45820</v>
      </c>
      <c r="B164" s="3">
        <v>19.5</v>
      </c>
    </row>
    <row r="165" spans="1:2" ht="14" x14ac:dyDescent="0.15">
      <c r="A165" s="8">
        <v>45821</v>
      </c>
      <c r="B165" s="3">
        <v>11.75</v>
      </c>
    </row>
    <row r="166" spans="1:2" ht="14" x14ac:dyDescent="0.15">
      <c r="A166" s="8">
        <v>45822</v>
      </c>
      <c r="B166" s="3">
        <v>13.85</v>
      </c>
    </row>
    <row r="167" spans="1:2" ht="14" x14ac:dyDescent="0.15">
      <c r="A167" s="8">
        <v>45823</v>
      </c>
      <c r="B167" s="3">
        <v>14</v>
      </c>
    </row>
    <row r="168" spans="1:2" ht="14" x14ac:dyDescent="0.15">
      <c r="A168" s="8">
        <v>45824</v>
      </c>
      <c r="B168" s="3">
        <v>11.7</v>
      </c>
    </row>
    <row r="169" spans="1:2" ht="14" x14ac:dyDescent="0.15">
      <c r="A169" s="8">
        <v>45825</v>
      </c>
      <c r="B169" s="3">
        <v>12</v>
      </c>
    </row>
    <row r="170" spans="1:2" ht="14" x14ac:dyDescent="0.15">
      <c r="A170" s="8">
        <v>45826</v>
      </c>
      <c r="B170" s="3">
        <v>12</v>
      </c>
    </row>
    <row r="171" spans="1:2" ht="14" x14ac:dyDescent="0.15">
      <c r="A171" s="8">
        <v>45827</v>
      </c>
      <c r="B171" s="3">
        <v>12</v>
      </c>
    </row>
    <row r="172" spans="1:2" ht="14" x14ac:dyDescent="0.15">
      <c r="A172" s="8">
        <v>45828</v>
      </c>
      <c r="B172" s="3">
        <v>11.5</v>
      </c>
    </row>
    <row r="173" spans="1:2" ht="14" x14ac:dyDescent="0.15">
      <c r="A173" s="8">
        <v>45829</v>
      </c>
      <c r="B173" s="3">
        <v>15.75</v>
      </c>
    </row>
    <row r="174" spans="1:2" ht="14" x14ac:dyDescent="0.15">
      <c r="A174" s="8">
        <v>45830</v>
      </c>
      <c r="B174" s="3">
        <v>22.3</v>
      </c>
    </row>
    <row r="175" spans="1:2" ht="14" x14ac:dyDescent="0.15">
      <c r="A175" s="8">
        <v>45831</v>
      </c>
      <c r="B175" s="3">
        <v>12.1</v>
      </c>
    </row>
    <row r="176" spans="1:2" ht="14" x14ac:dyDescent="0.15">
      <c r="A176" s="8">
        <v>45832</v>
      </c>
      <c r="B176" s="3">
        <v>12.2</v>
      </c>
    </row>
    <row r="177" spans="1:2" ht="14" x14ac:dyDescent="0.15">
      <c r="A177" s="8">
        <v>45833</v>
      </c>
      <c r="B177" s="3">
        <v>19.3</v>
      </c>
    </row>
    <row r="178" spans="1:2" ht="14" x14ac:dyDescent="0.15">
      <c r="A178" s="8">
        <v>45834</v>
      </c>
      <c r="B178" s="3">
        <v>12.3</v>
      </c>
    </row>
    <row r="179" spans="1:2" ht="14" x14ac:dyDescent="0.15">
      <c r="A179" s="8">
        <v>45835</v>
      </c>
      <c r="B179" s="3">
        <v>12.5</v>
      </c>
    </row>
    <row r="180" spans="1:2" ht="14" x14ac:dyDescent="0.15">
      <c r="A180" s="8">
        <v>45836</v>
      </c>
      <c r="B180" s="3">
        <v>16.399999999999999</v>
      </c>
    </row>
    <row r="181" spans="1:2" ht="14" x14ac:dyDescent="0.15">
      <c r="A181" s="8">
        <v>45837</v>
      </c>
      <c r="B181" s="3">
        <v>13</v>
      </c>
    </row>
    <row r="182" spans="1:2" ht="14" x14ac:dyDescent="0.15">
      <c r="A182" s="8">
        <v>45838</v>
      </c>
      <c r="B182" s="3">
        <v>12.5</v>
      </c>
    </row>
    <row r="183" spans="1:2" ht="14" x14ac:dyDescent="0.15">
      <c r="A183" s="8">
        <v>45839</v>
      </c>
      <c r="B183" s="3">
        <v>11.5</v>
      </c>
    </row>
    <row r="184" spans="1:2" ht="14" x14ac:dyDescent="0.15">
      <c r="A184" s="8">
        <v>45840</v>
      </c>
      <c r="B184" s="3">
        <v>22.5</v>
      </c>
    </row>
    <row r="185" spans="1:2" ht="14" x14ac:dyDescent="0.15">
      <c r="A185" s="8">
        <v>45841</v>
      </c>
      <c r="B185" s="3">
        <v>12</v>
      </c>
    </row>
    <row r="186" spans="1:2" ht="14" x14ac:dyDescent="0.15">
      <c r="A186" s="8">
        <v>45842</v>
      </c>
      <c r="B186" s="3">
        <v>10.5</v>
      </c>
    </row>
    <row r="187" spans="1:2" ht="14" x14ac:dyDescent="0.15">
      <c r="A187" s="8">
        <v>45843</v>
      </c>
      <c r="B187" s="3">
        <v>14</v>
      </c>
    </row>
    <row r="188" spans="1:2" ht="14" x14ac:dyDescent="0.15">
      <c r="A188" s="8">
        <v>45844</v>
      </c>
      <c r="B188" s="3">
        <v>24</v>
      </c>
    </row>
    <row r="189" spans="1:2" ht="14" x14ac:dyDescent="0.15">
      <c r="A189" s="8">
        <v>45845</v>
      </c>
      <c r="B189" s="3">
        <v>16.5</v>
      </c>
    </row>
    <row r="190" spans="1:2" ht="14" x14ac:dyDescent="0.15">
      <c r="A190" s="8">
        <v>45846</v>
      </c>
      <c r="B190" s="3">
        <v>17.5</v>
      </c>
    </row>
    <row r="191" spans="1:2" ht="14" x14ac:dyDescent="0.15">
      <c r="A191" s="8">
        <v>45847</v>
      </c>
      <c r="B191" s="3">
        <v>21</v>
      </c>
    </row>
    <row r="192" spans="1:2" ht="14" x14ac:dyDescent="0.15">
      <c r="A192" s="8">
        <v>45848</v>
      </c>
      <c r="B192" s="3">
        <v>11</v>
      </c>
    </row>
    <row r="193" spans="1:2" ht="14" x14ac:dyDescent="0.15">
      <c r="A193" s="8">
        <v>45849</v>
      </c>
      <c r="B193" s="3">
        <v>11</v>
      </c>
    </row>
    <row r="194" spans="1:2" ht="14" x14ac:dyDescent="0.15">
      <c r="A194" s="8">
        <v>45850</v>
      </c>
      <c r="B194" s="3">
        <v>14</v>
      </c>
    </row>
    <row r="195" spans="1:2" ht="14" x14ac:dyDescent="0.15">
      <c r="A195" s="8">
        <v>45851</v>
      </c>
      <c r="B195" s="3">
        <v>23.5</v>
      </c>
    </row>
    <row r="196" spans="1:2" ht="14" x14ac:dyDescent="0.15">
      <c r="A196" s="8">
        <v>45852</v>
      </c>
      <c r="B196" s="3">
        <v>11</v>
      </c>
    </row>
    <row r="197" spans="1:2" ht="14" x14ac:dyDescent="0.15">
      <c r="A197" s="8">
        <v>45853</v>
      </c>
      <c r="B197" s="3">
        <v>12.5</v>
      </c>
    </row>
    <row r="198" spans="1:2" ht="14" x14ac:dyDescent="0.15">
      <c r="A198" s="8">
        <v>45854</v>
      </c>
      <c r="B198" s="3">
        <v>22</v>
      </c>
    </row>
    <row r="199" spans="1:2" ht="14" x14ac:dyDescent="0.15">
      <c r="A199" s="8">
        <v>45855</v>
      </c>
      <c r="B199" s="3">
        <v>22</v>
      </c>
    </row>
    <row r="200" spans="1:2" ht="14" x14ac:dyDescent="0.15">
      <c r="A200" s="8">
        <v>45856</v>
      </c>
      <c r="B200" s="3">
        <v>12</v>
      </c>
    </row>
    <row r="201" spans="1:2" ht="14" x14ac:dyDescent="0.15">
      <c r="A201" s="8">
        <v>45857</v>
      </c>
      <c r="B201" s="3">
        <v>14.5</v>
      </c>
    </row>
    <row r="202" spans="1:2" ht="14" x14ac:dyDescent="0.15">
      <c r="A202" s="8">
        <v>45858</v>
      </c>
      <c r="B202" s="3">
        <v>25.5</v>
      </c>
    </row>
    <row r="203" spans="1:2" ht="14" x14ac:dyDescent="0.15">
      <c r="A203" s="8">
        <v>45859</v>
      </c>
      <c r="B203" s="3">
        <v>12</v>
      </c>
    </row>
    <row r="204" spans="1:2" ht="14" x14ac:dyDescent="0.15">
      <c r="A204" s="8">
        <v>45860</v>
      </c>
      <c r="B204" s="3">
        <v>12</v>
      </c>
    </row>
    <row r="205" spans="1:2" ht="14" x14ac:dyDescent="0.15">
      <c r="A205" s="8">
        <v>45861</v>
      </c>
      <c r="B205" s="3">
        <v>20</v>
      </c>
    </row>
    <row r="206" spans="1:2" ht="14" x14ac:dyDescent="0.15">
      <c r="A206" s="8">
        <v>45862</v>
      </c>
      <c r="B206" s="3">
        <v>11</v>
      </c>
    </row>
    <row r="207" spans="1:2" ht="14" x14ac:dyDescent="0.15">
      <c r="A207" s="8">
        <v>45863</v>
      </c>
      <c r="B207" s="3">
        <v>22</v>
      </c>
    </row>
    <row r="208" spans="1:2" ht="14" x14ac:dyDescent="0.15">
      <c r="A208" s="8">
        <v>45864</v>
      </c>
      <c r="B208" s="3">
        <v>14.5</v>
      </c>
    </row>
    <row r="209" spans="1:2" ht="14" x14ac:dyDescent="0.15">
      <c r="A209" s="8">
        <v>45865</v>
      </c>
      <c r="B209" s="3">
        <v>15</v>
      </c>
    </row>
    <row r="210" spans="1:2" ht="14" x14ac:dyDescent="0.15">
      <c r="A210" s="8">
        <v>45866</v>
      </c>
      <c r="B210" s="3">
        <v>22</v>
      </c>
    </row>
    <row r="211" spans="1:2" ht="14" x14ac:dyDescent="0.15">
      <c r="A211" s="8">
        <v>45867</v>
      </c>
      <c r="B211" s="3">
        <v>12</v>
      </c>
    </row>
    <row r="212" spans="1:2" ht="14" x14ac:dyDescent="0.15">
      <c r="A212" s="8">
        <v>45868</v>
      </c>
      <c r="B212" s="4">
        <v>0</v>
      </c>
    </row>
    <row r="213" spans="1:2" ht="14" x14ac:dyDescent="0.15">
      <c r="A213" s="8">
        <v>45869</v>
      </c>
      <c r="B213" s="3">
        <v>8</v>
      </c>
    </row>
    <row r="214" spans="1:2" ht="14" x14ac:dyDescent="0.15">
      <c r="A214" s="8">
        <v>45870</v>
      </c>
      <c r="B214" s="4">
        <v>0</v>
      </c>
    </row>
    <row r="215" spans="1:2" ht="14" x14ac:dyDescent="0.15">
      <c r="A215" s="8">
        <v>45871</v>
      </c>
      <c r="B215" s="3">
        <v>8</v>
      </c>
    </row>
    <row r="216" spans="1:2" ht="14" x14ac:dyDescent="0.15">
      <c r="A216" s="8">
        <v>45872</v>
      </c>
      <c r="B216" s="4">
        <v>0</v>
      </c>
    </row>
    <row r="217" spans="1:2" ht="14" x14ac:dyDescent="0.15">
      <c r="A217" s="8">
        <v>45873</v>
      </c>
      <c r="B217" s="3">
        <v>21</v>
      </c>
    </row>
    <row r="218" spans="1:2" ht="14" x14ac:dyDescent="0.15">
      <c r="A218" s="8">
        <v>45874</v>
      </c>
      <c r="B218" s="3">
        <v>22</v>
      </c>
    </row>
    <row r="219" spans="1:2" ht="14" x14ac:dyDescent="0.15">
      <c r="A219" s="8">
        <v>45875</v>
      </c>
      <c r="B219" s="3">
        <v>21.5</v>
      </c>
    </row>
    <row r="220" spans="1:2" ht="14" x14ac:dyDescent="0.15">
      <c r="A220" s="8">
        <v>45876</v>
      </c>
      <c r="B220" s="3">
        <v>22.1</v>
      </c>
    </row>
    <row r="221" spans="1:2" ht="14" x14ac:dyDescent="0.15">
      <c r="A221" s="8">
        <v>45877</v>
      </c>
      <c r="B221" s="3">
        <v>22.5</v>
      </c>
    </row>
    <row r="222" spans="1:2" ht="14" x14ac:dyDescent="0.15">
      <c r="A222" s="8">
        <v>45878</v>
      </c>
      <c r="B222" s="3">
        <v>23</v>
      </c>
    </row>
    <row r="223" spans="1:2" ht="14" x14ac:dyDescent="0.15">
      <c r="A223" s="8">
        <v>45879</v>
      </c>
      <c r="B223" s="3">
        <v>13</v>
      </c>
    </row>
    <row r="224" spans="1:2" ht="14" x14ac:dyDescent="0.15">
      <c r="A224" s="8">
        <v>45880</v>
      </c>
      <c r="B224" s="3">
        <v>16</v>
      </c>
    </row>
    <row r="225" spans="1:2" ht="14" x14ac:dyDescent="0.15">
      <c r="A225" s="8">
        <v>45881</v>
      </c>
      <c r="B225" s="3">
        <v>14</v>
      </c>
    </row>
    <row r="226" spans="1:2" ht="14" x14ac:dyDescent="0.15">
      <c r="A226" s="8">
        <v>45882</v>
      </c>
      <c r="B226" s="3">
        <v>10.43</v>
      </c>
    </row>
    <row r="227" spans="1:2" ht="14" x14ac:dyDescent="0.15">
      <c r="A227" s="8">
        <v>45883</v>
      </c>
      <c r="B227" s="3">
        <v>12.6</v>
      </c>
    </row>
    <row r="228" spans="1:2" ht="14" x14ac:dyDescent="0.15">
      <c r="A228" s="8">
        <v>45884</v>
      </c>
      <c r="B228" s="4">
        <v>0</v>
      </c>
    </row>
    <row r="229" spans="1:2" ht="14" x14ac:dyDescent="0.15">
      <c r="A229" s="8">
        <v>45885</v>
      </c>
      <c r="B229" s="3">
        <v>23</v>
      </c>
    </row>
    <row r="230" spans="1:2" ht="14" x14ac:dyDescent="0.15">
      <c r="A230" s="8">
        <v>45886</v>
      </c>
      <c r="B230" s="3">
        <v>15</v>
      </c>
    </row>
    <row r="231" spans="1:2" ht="14" x14ac:dyDescent="0.15">
      <c r="A231" s="8">
        <v>45887</v>
      </c>
      <c r="B231" s="5">
        <v>13.6</v>
      </c>
    </row>
    <row r="232" spans="1:2" ht="14" x14ac:dyDescent="0.15">
      <c r="A232" s="8">
        <v>45888</v>
      </c>
      <c r="B232" s="5">
        <v>12</v>
      </c>
    </row>
    <row r="233" spans="1:2" ht="14" x14ac:dyDescent="0.15">
      <c r="A233" s="8">
        <v>45889</v>
      </c>
      <c r="B233" s="5">
        <v>22</v>
      </c>
    </row>
    <row r="234" spans="1:2" ht="14" x14ac:dyDescent="0.15">
      <c r="A234" s="8">
        <v>45890</v>
      </c>
      <c r="B234" s="5">
        <f>12+10</f>
        <v>22</v>
      </c>
    </row>
    <row r="235" spans="1:2" ht="14" x14ac:dyDescent="0.15">
      <c r="A235" s="8">
        <v>45891</v>
      </c>
      <c r="B235" s="5">
        <f>12+9</f>
        <v>21</v>
      </c>
    </row>
    <row r="236" spans="1:2" ht="14" x14ac:dyDescent="0.15">
      <c r="A236" s="8">
        <v>45892</v>
      </c>
      <c r="B236" s="5">
        <f>3.56+8+2.01+9.09</f>
        <v>22.66</v>
      </c>
    </row>
    <row r="237" spans="1:2" ht="14" x14ac:dyDescent="0.15">
      <c r="A237" s="8">
        <v>45893</v>
      </c>
      <c r="B237" s="5">
        <f>14.5+9</f>
        <v>23.5</v>
      </c>
    </row>
    <row r="238" spans="1:2" ht="14" x14ac:dyDescent="0.15">
      <c r="A238" s="8">
        <v>45894</v>
      </c>
      <c r="B238" s="5">
        <v>12</v>
      </c>
    </row>
    <row r="239" spans="1:2" ht="14" x14ac:dyDescent="0.15">
      <c r="A239" s="8">
        <v>45895</v>
      </c>
      <c r="B239" s="5">
        <v>13.5</v>
      </c>
    </row>
    <row r="240" spans="1:2" ht="14" x14ac:dyDescent="0.15">
      <c r="A240" s="8">
        <v>45896</v>
      </c>
      <c r="B240" s="5">
        <v>12</v>
      </c>
    </row>
    <row r="241" spans="1:2" ht="14" x14ac:dyDescent="0.15">
      <c r="A241" s="8">
        <v>45897</v>
      </c>
      <c r="B241" s="5">
        <v>12</v>
      </c>
    </row>
    <row r="242" spans="1:2" ht="14" x14ac:dyDescent="0.15">
      <c r="A242" s="8">
        <v>45898</v>
      </c>
      <c r="B242" s="5">
        <f>11.7+9.04</f>
        <v>20.74</v>
      </c>
    </row>
    <row r="243" spans="1:2" ht="14" x14ac:dyDescent="0.15">
      <c r="A243" s="8">
        <v>45899</v>
      </c>
      <c r="B243" s="5">
        <f>3.53+8.03+2+9</f>
        <v>22.56</v>
      </c>
    </row>
    <row r="244" spans="1:2" ht="14" x14ac:dyDescent="0.15">
      <c r="A244" s="8">
        <v>45900</v>
      </c>
      <c r="B244" s="5">
        <v>14</v>
      </c>
    </row>
    <row r="245" spans="1:2" ht="14" x14ac:dyDescent="0.15">
      <c r="A245" s="7">
        <v>45901</v>
      </c>
      <c r="B245" s="9">
        <f>11+10</f>
        <v>21</v>
      </c>
    </row>
    <row r="246" spans="1:2" ht="14" x14ac:dyDescent="0.15">
      <c r="A246" s="7">
        <v>45902</v>
      </c>
      <c r="B246" s="9">
        <v>12</v>
      </c>
    </row>
    <row r="247" spans="1:2" ht="14" x14ac:dyDescent="0.15">
      <c r="A247" s="7">
        <v>45903</v>
      </c>
      <c r="B247" s="9">
        <f>10+2.53+2+2+2+1.51</f>
        <v>20.040000000000003</v>
      </c>
    </row>
    <row r="248" spans="1:2" ht="14" x14ac:dyDescent="0.15">
      <c r="A248" s="7">
        <v>45904</v>
      </c>
      <c r="B248" s="9">
        <f>11+11</f>
        <v>22</v>
      </c>
    </row>
    <row r="249" spans="1:2" ht="14" x14ac:dyDescent="0.15">
      <c r="A249" s="7">
        <v>45905</v>
      </c>
      <c r="B249" s="9">
        <v>11.5</v>
      </c>
    </row>
    <row r="250" spans="1:2" ht="14" x14ac:dyDescent="0.15">
      <c r="A250" s="7">
        <v>45906</v>
      </c>
      <c r="B250" s="9">
        <v>17.5</v>
      </c>
    </row>
    <row r="251" spans="1:2" ht="14" x14ac:dyDescent="0.15">
      <c r="A251" s="7">
        <v>45907</v>
      </c>
      <c r="B251" s="9">
        <f>13+9.5</f>
        <v>22.5</v>
      </c>
    </row>
    <row r="252" spans="1:2" ht="14" x14ac:dyDescent="0.15">
      <c r="A252" s="7">
        <v>45908</v>
      </c>
      <c r="B252" s="9">
        <f>12.5+9.5</f>
        <v>22</v>
      </c>
    </row>
    <row r="253" spans="1:2" ht="14" x14ac:dyDescent="0.15">
      <c r="A253" s="7">
        <v>45909</v>
      </c>
      <c r="B253" s="9">
        <v>13</v>
      </c>
    </row>
    <row r="254" spans="1:2" ht="14" x14ac:dyDescent="0.15">
      <c r="A254" s="7">
        <v>45910</v>
      </c>
      <c r="B254" s="9">
        <f>11+3+6+1.5</f>
        <v>21.5</v>
      </c>
    </row>
    <row r="255" spans="1:2" ht="14" x14ac:dyDescent="0.15">
      <c r="A255" s="7">
        <v>45911</v>
      </c>
      <c r="B255" s="9">
        <f>11+10</f>
        <v>21</v>
      </c>
    </row>
    <row r="256" spans="1:2" ht="14" x14ac:dyDescent="0.15">
      <c r="A256" s="7">
        <v>45912</v>
      </c>
      <c r="B256" s="9">
        <v>12</v>
      </c>
    </row>
    <row r="257" spans="1:2" ht="14" x14ac:dyDescent="0.15">
      <c r="A257" s="7">
        <v>45913</v>
      </c>
      <c r="B257" s="9">
        <v>7</v>
      </c>
    </row>
    <row r="258" spans="1:2" ht="14" x14ac:dyDescent="0.15">
      <c r="A258" s="7">
        <v>45914</v>
      </c>
      <c r="B258" s="9">
        <v>12</v>
      </c>
    </row>
    <row r="259" spans="1:2" ht="14" x14ac:dyDescent="0.15">
      <c r="A259" s="7">
        <v>45915</v>
      </c>
      <c r="B259" s="9">
        <f>11.53+9</f>
        <v>20.53</v>
      </c>
    </row>
    <row r="260" spans="1:2" ht="14" x14ac:dyDescent="0.15">
      <c r="A260" s="7">
        <v>45916</v>
      </c>
      <c r="B260" s="9">
        <f>11+9</f>
        <v>20</v>
      </c>
    </row>
    <row r="261" spans="1:2" ht="14" x14ac:dyDescent="0.15">
      <c r="A261" s="7">
        <v>45917</v>
      </c>
      <c r="B261" s="9">
        <f>3+2+2+2+2+8.81</f>
        <v>19.810000000000002</v>
      </c>
    </row>
    <row r="262" spans="1:2" ht="14" x14ac:dyDescent="0.15">
      <c r="A262" s="7">
        <v>45918</v>
      </c>
      <c r="B262" s="9">
        <v>14</v>
      </c>
    </row>
    <row r="263" spans="1:2" ht="14" x14ac:dyDescent="0.15">
      <c r="A263" s="7">
        <v>45919</v>
      </c>
      <c r="B263" s="9">
        <v>11</v>
      </c>
    </row>
    <row r="264" spans="1:2" ht="14" x14ac:dyDescent="0.15">
      <c r="A264" s="7">
        <v>45920</v>
      </c>
      <c r="B264" s="9">
        <f>16+10.5</f>
        <v>26.5</v>
      </c>
    </row>
    <row r="265" spans="1:2" ht="14" x14ac:dyDescent="0.15">
      <c r="A265" s="7">
        <v>45921</v>
      </c>
      <c r="B265" s="9">
        <v>13.5</v>
      </c>
    </row>
    <row r="266" spans="1:2" ht="14" x14ac:dyDescent="0.15">
      <c r="A266" s="7">
        <v>45922</v>
      </c>
      <c r="B266" s="9">
        <v>19</v>
      </c>
    </row>
    <row r="267" spans="1:2" ht="14" x14ac:dyDescent="0.15">
      <c r="A267" s="7">
        <v>45923</v>
      </c>
      <c r="B267" s="9">
        <f>11+10</f>
        <v>21</v>
      </c>
    </row>
    <row r="268" spans="1:2" ht="14" x14ac:dyDescent="0.15">
      <c r="A268" s="7">
        <v>45924</v>
      </c>
      <c r="B268" s="9">
        <v>11.5</v>
      </c>
    </row>
    <row r="269" spans="1:2" ht="14" x14ac:dyDescent="0.15">
      <c r="A269" s="7">
        <v>45925</v>
      </c>
      <c r="B269" s="9">
        <f>4+5.81+1+0.8*4</f>
        <v>14.009999999999998</v>
      </c>
    </row>
    <row r="270" spans="1:2" ht="14" x14ac:dyDescent="0.15">
      <c r="A270" s="7">
        <v>45926</v>
      </c>
      <c r="B270" s="9">
        <v>12</v>
      </c>
    </row>
    <row r="271" spans="1:2" ht="14" x14ac:dyDescent="0.15">
      <c r="A271" s="7">
        <v>45927</v>
      </c>
      <c r="B271" s="9">
        <f>16+10</f>
        <v>26</v>
      </c>
    </row>
    <row r="272" spans="1:2" ht="14" x14ac:dyDescent="0.15">
      <c r="A272" s="7">
        <v>45928</v>
      </c>
      <c r="B272" s="9">
        <v>13.5</v>
      </c>
    </row>
    <row r="273" spans="1:2" ht="14" x14ac:dyDescent="0.15">
      <c r="A273" s="7">
        <v>45929</v>
      </c>
      <c r="B273" s="16">
        <f>11.4+9</f>
        <v>20.399999999999999</v>
      </c>
    </row>
    <row r="274" spans="1:2" ht="14" x14ac:dyDescent="0.15">
      <c r="A274" s="7">
        <v>45930</v>
      </c>
      <c r="B274" s="16">
        <f>11.71+10.51</f>
        <v>22.22</v>
      </c>
    </row>
    <row r="275" spans="1:2" ht="14" x14ac:dyDescent="0.15">
      <c r="A275" s="7">
        <v>45931</v>
      </c>
      <c r="B275" s="16">
        <f>11.5+9</f>
        <v>20.5</v>
      </c>
    </row>
    <row r="276" spans="1:2" ht="14" x14ac:dyDescent="0.15">
      <c r="A276" s="7">
        <v>45932</v>
      </c>
      <c r="B276" s="16">
        <f>4.3+0.5+0.5+0.8*4+5.75</f>
        <v>14.25</v>
      </c>
    </row>
    <row r="277" spans="1:2" ht="14" x14ac:dyDescent="0.15">
      <c r="A277" s="7">
        <v>45933</v>
      </c>
      <c r="B277" s="16">
        <v>11.8</v>
      </c>
    </row>
    <row r="278" spans="1:2" ht="14" x14ac:dyDescent="0.15">
      <c r="A278" s="7">
        <v>45934</v>
      </c>
      <c r="B278" s="16">
        <f>3+10+3+10</f>
        <v>26</v>
      </c>
    </row>
    <row r="279" spans="1:2" ht="14" x14ac:dyDescent="0.15">
      <c r="A279" s="7">
        <v>45935</v>
      </c>
      <c r="B279" s="16">
        <v>14</v>
      </c>
    </row>
    <row r="280" spans="1:2" ht="14" x14ac:dyDescent="0.15">
      <c r="A280" s="7">
        <v>45936</v>
      </c>
      <c r="B280" s="12">
        <f>11.5+9</f>
        <v>20.5</v>
      </c>
    </row>
    <row r="281" spans="1:2" ht="14" x14ac:dyDescent="0.15">
      <c r="A281" s="7">
        <v>45937</v>
      </c>
      <c r="B281" s="12">
        <f>11.5+10</f>
        <v>21.5</v>
      </c>
    </row>
    <row r="282" spans="1:2" ht="14" x14ac:dyDescent="0.15">
      <c r="A282" s="7">
        <v>45938</v>
      </c>
      <c r="B282" s="12">
        <v>12.62</v>
      </c>
    </row>
    <row r="283" spans="1:2" ht="14" x14ac:dyDescent="0.15">
      <c r="A283" s="7">
        <v>45939</v>
      </c>
      <c r="B283" s="12">
        <f>3+0.5+0.5+8+2</f>
        <v>14</v>
      </c>
    </row>
    <row r="284" spans="1:2" ht="14" x14ac:dyDescent="0.15">
      <c r="A284" s="7">
        <v>45940</v>
      </c>
      <c r="B284" s="12">
        <f>11.5+6</f>
        <v>17.5</v>
      </c>
    </row>
    <row r="285" spans="1:2" ht="14" x14ac:dyDescent="0.15">
      <c r="A285" s="7">
        <v>45941</v>
      </c>
      <c r="B285" s="12">
        <f>15.5+10</f>
        <v>25.5</v>
      </c>
    </row>
    <row r="286" spans="1:2" ht="14" x14ac:dyDescent="0.15">
      <c r="A286" s="7">
        <v>45942</v>
      </c>
      <c r="B286" s="12">
        <v>15</v>
      </c>
    </row>
    <row r="287" spans="1:2" ht="14" x14ac:dyDescent="0.15">
      <c r="A287" s="7">
        <v>45943</v>
      </c>
      <c r="B287" s="13">
        <f>13+11</f>
        <v>24</v>
      </c>
    </row>
    <row r="288" spans="1:2" ht="14" x14ac:dyDescent="0.15">
      <c r="A288" s="7">
        <v>45944</v>
      </c>
      <c r="B288" s="13">
        <f>11.5+10.5</f>
        <v>22</v>
      </c>
    </row>
    <row r="289" spans="1:2" ht="14" x14ac:dyDescent="0.15">
      <c r="A289" s="7">
        <v>45945</v>
      </c>
      <c r="B289" s="13">
        <v>12</v>
      </c>
    </row>
    <row r="290" spans="1:2" ht="14" x14ac:dyDescent="0.15">
      <c r="A290" s="7">
        <v>45946</v>
      </c>
      <c r="B290" s="13">
        <v>16</v>
      </c>
    </row>
    <row r="291" spans="1:2" ht="14" x14ac:dyDescent="0.15">
      <c r="A291" s="7">
        <v>45947</v>
      </c>
      <c r="B291" s="13">
        <f>11.5+6.5</f>
        <v>18</v>
      </c>
    </row>
    <row r="292" spans="1:2" ht="14" x14ac:dyDescent="0.15">
      <c r="A292" s="7">
        <v>45948</v>
      </c>
      <c r="B292" s="13">
        <f>3.04+12.02+1.1+10.5</f>
        <v>26.66</v>
      </c>
    </row>
    <row r="293" spans="1:2" ht="14" x14ac:dyDescent="0.15">
      <c r="A293" s="7">
        <v>45949</v>
      </c>
      <c r="B293" s="13">
        <f>14.01+12.02</f>
        <v>26.03</v>
      </c>
    </row>
    <row r="294" spans="1:2" ht="14" x14ac:dyDescent="0.15">
      <c r="A294" s="7">
        <v>45950</v>
      </c>
      <c r="B294" s="14">
        <f>11.01+8.01</f>
        <v>19.02</v>
      </c>
    </row>
    <row r="295" spans="1:2" ht="14" x14ac:dyDescent="0.15">
      <c r="A295" s="7">
        <v>45951</v>
      </c>
      <c r="B295" s="14">
        <f>11.01+11.01</f>
        <v>22.02</v>
      </c>
    </row>
    <row r="296" spans="1:2" ht="14" x14ac:dyDescent="0.15">
      <c r="A296" s="7">
        <v>45952</v>
      </c>
      <c r="B296" s="14">
        <v>12</v>
      </c>
    </row>
    <row r="297" spans="1:2" ht="14" x14ac:dyDescent="0.15">
      <c r="A297" s="7">
        <v>45953</v>
      </c>
      <c r="B297" s="14">
        <f>10.7+10.5</f>
        <v>21.2</v>
      </c>
    </row>
    <row r="298" spans="1:2" ht="14" x14ac:dyDescent="0.15">
      <c r="A298" s="7">
        <v>45954</v>
      </c>
      <c r="B298" s="14">
        <v>15</v>
      </c>
    </row>
    <row r="299" spans="1:2" ht="14" x14ac:dyDescent="0.15">
      <c r="A299" s="7">
        <v>45955</v>
      </c>
      <c r="B299" s="14">
        <v>0</v>
      </c>
    </row>
    <row r="300" spans="1:2" ht="14" x14ac:dyDescent="0.15">
      <c r="A300" s="7">
        <v>45956</v>
      </c>
      <c r="B300" s="14">
        <f>3.15+1+6.02+5.09+10.5</f>
        <v>25.759999999999998</v>
      </c>
    </row>
    <row r="301" spans="1:2" ht="14" x14ac:dyDescent="0.15">
      <c r="A301" s="7">
        <v>45957</v>
      </c>
      <c r="B301" s="15">
        <f>11.5+14.5</f>
        <v>26</v>
      </c>
    </row>
    <row r="302" spans="1:2" ht="14" x14ac:dyDescent="0.15">
      <c r="A302" s="7">
        <v>45958</v>
      </c>
      <c r="B302" s="15">
        <v>11.5</v>
      </c>
    </row>
    <row r="303" spans="1:2" ht="14" x14ac:dyDescent="0.15">
      <c r="A303" s="7">
        <v>45959</v>
      </c>
      <c r="B303" s="15">
        <v>0</v>
      </c>
    </row>
    <row r="304" spans="1:2" ht="14" x14ac:dyDescent="0.15">
      <c r="A304" s="7">
        <v>45960</v>
      </c>
      <c r="B304" s="15">
        <f>11+11.8</f>
        <v>22.8</v>
      </c>
    </row>
    <row r="305" spans="1:2" ht="14" x14ac:dyDescent="0.15">
      <c r="A305" s="7">
        <v>45961</v>
      </c>
      <c r="B305" s="15">
        <f>11.21+7.5</f>
        <v>18.71</v>
      </c>
    </row>
    <row r="306" spans="1:2" ht="14" x14ac:dyDescent="0.15">
      <c r="A306" s="7">
        <v>45962</v>
      </c>
      <c r="B306" s="15">
        <f>3+9+2+10</f>
        <v>24</v>
      </c>
    </row>
    <row r="307" spans="1:2" ht="14" x14ac:dyDescent="0.15">
      <c r="A307" s="19">
        <v>45963</v>
      </c>
      <c r="B307" s="15">
        <v>13.5</v>
      </c>
    </row>
    <row r="308" spans="1:2" ht="14" x14ac:dyDescent="0.15">
      <c r="A308" s="7">
        <v>45964</v>
      </c>
      <c r="B308" s="17">
        <v>11.02</v>
      </c>
    </row>
    <row r="309" spans="1:2" ht="14" x14ac:dyDescent="0.15">
      <c r="A309" s="7">
        <v>45965</v>
      </c>
      <c r="B309" s="17">
        <f>11.51+10.02</f>
        <v>21.53</v>
      </c>
    </row>
    <row r="310" spans="1:2" ht="14" x14ac:dyDescent="0.15">
      <c r="A310" s="7">
        <v>45966</v>
      </c>
      <c r="B310" s="17">
        <f>11.8+14</f>
        <v>25.8</v>
      </c>
    </row>
    <row r="311" spans="1:2" ht="14" x14ac:dyDescent="0.15">
      <c r="A311" s="7">
        <v>45967</v>
      </c>
      <c r="B311" s="17">
        <v>11.02</v>
      </c>
    </row>
    <row r="312" spans="1:2" ht="14" x14ac:dyDescent="0.15">
      <c r="A312" s="7">
        <v>45968</v>
      </c>
      <c r="B312" s="17">
        <v>0</v>
      </c>
    </row>
    <row r="313" spans="1:2" ht="14" x14ac:dyDescent="0.15">
      <c r="A313" s="7">
        <v>45969</v>
      </c>
      <c r="B313" s="17">
        <f>4.69+10.24+2.5+12</f>
        <v>29.43</v>
      </c>
    </row>
    <row r="314" spans="1:2" ht="14" x14ac:dyDescent="0.15">
      <c r="A314" s="19">
        <v>45970</v>
      </c>
      <c r="B314" s="17">
        <f>14.01+11.02</f>
        <v>25.03</v>
      </c>
    </row>
    <row r="315" spans="1:2" ht="14" x14ac:dyDescent="0.15">
      <c r="A315" s="7">
        <v>45971</v>
      </c>
      <c r="B315" s="18">
        <f>11+8</f>
        <v>19</v>
      </c>
    </row>
    <row r="316" spans="1:2" ht="14" x14ac:dyDescent="0.15">
      <c r="A316" s="7">
        <v>45972</v>
      </c>
      <c r="B316" s="18">
        <v>12.5</v>
      </c>
    </row>
    <row r="317" spans="1:2" ht="14" x14ac:dyDescent="0.15">
      <c r="A317" s="7">
        <v>45973</v>
      </c>
      <c r="B317" s="18">
        <v>10.89</v>
      </c>
    </row>
    <row r="318" spans="1:2" ht="14" x14ac:dyDescent="0.15">
      <c r="A318" s="7">
        <v>45974</v>
      </c>
      <c r="B318" s="18">
        <v>12.9</v>
      </c>
    </row>
    <row r="319" spans="1:2" ht="14" x14ac:dyDescent="0.15">
      <c r="A319" s="7">
        <v>45975</v>
      </c>
      <c r="B319" s="18">
        <v>10.75</v>
      </c>
    </row>
    <row r="320" spans="1:2" ht="14" x14ac:dyDescent="0.15">
      <c r="A320" s="7">
        <v>45976</v>
      </c>
      <c r="B320" s="18">
        <v>15</v>
      </c>
    </row>
    <row r="321" spans="1:2" ht="14" x14ac:dyDescent="0.15">
      <c r="A321" s="19">
        <v>45977</v>
      </c>
      <c r="B321" s="18">
        <f>15+12</f>
        <v>27</v>
      </c>
    </row>
    <row r="322" spans="1:2" ht="14" x14ac:dyDescent="0.15">
      <c r="A322" s="7">
        <v>45978</v>
      </c>
      <c r="B322" s="20">
        <f>11.02+8.52</f>
        <v>19.54</v>
      </c>
    </row>
    <row r="323" spans="1:2" ht="14" x14ac:dyDescent="0.15">
      <c r="A323" s="7">
        <v>45979</v>
      </c>
      <c r="B323" s="20">
        <v>13</v>
      </c>
    </row>
    <row r="324" spans="1:2" ht="14" x14ac:dyDescent="0.15">
      <c r="A324" s="7">
        <v>45980</v>
      </c>
      <c r="B324" s="20">
        <v>9.49</v>
      </c>
    </row>
    <row r="325" spans="1:2" ht="14" x14ac:dyDescent="0.15">
      <c r="A325" s="7">
        <v>45981</v>
      </c>
      <c r="B325" s="20">
        <v>13</v>
      </c>
    </row>
    <row r="326" spans="1:2" ht="14" x14ac:dyDescent="0.15">
      <c r="A326" s="7">
        <v>45982</v>
      </c>
      <c r="B326" s="20">
        <f>11.5+8</f>
        <v>19.5</v>
      </c>
    </row>
    <row r="327" spans="1:2" ht="14" x14ac:dyDescent="0.15">
      <c r="A327" s="7">
        <v>45983</v>
      </c>
      <c r="B327" s="20">
        <f>4+6+4+11</f>
        <v>25</v>
      </c>
    </row>
    <row r="328" spans="1:2" ht="14" x14ac:dyDescent="0.15">
      <c r="A328" s="19">
        <v>45984</v>
      </c>
      <c r="B328" s="20">
        <f>3+10.2+3</f>
        <v>16.2</v>
      </c>
    </row>
    <row r="329" spans="1:2" ht="14" x14ac:dyDescent="0.15">
      <c r="A329" s="7">
        <v>45985</v>
      </c>
      <c r="B329" s="21">
        <f>11+8</f>
        <v>19</v>
      </c>
    </row>
    <row r="330" spans="1:2" ht="14" x14ac:dyDescent="0.15">
      <c r="A330" s="7">
        <v>45986</v>
      </c>
      <c r="B330" s="21">
        <v>13</v>
      </c>
    </row>
    <row r="331" spans="1:2" ht="14" x14ac:dyDescent="0.15">
      <c r="A331" s="7">
        <v>45987</v>
      </c>
      <c r="B331" s="21">
        <f>9.24+5.93</f>
        <v>15.17</v>
      </c>
    </row>
    <row r="332" spans="1:2" ht="14" x14ac:dyDescent="0.15">
      <c r="A332" s="7">
        <v>45988</v>
      </c>
      <c r="B332" s="21">
        <v>12.59</v>
      </c>
    </row>
    <row r="333" spans="1:2" ht="14" x14ac:dyDescent="0.15">
      <c r="A333" s="7">
        <v>45989</v>
      </c>
      <c r="B333" s="21">
        <f>12.02+8</f>
        <v>20.02</v>
      </c>
    </row>
    <row r="334" spans="1:2" ht="14" x14ac:dyDescent="0.15">
      <c r="A334" s="7">
        <v>45990</v>
      </c>
      <c r="B334" s="21">
        <v>15.01</v>
      </c>
    </row>
    <row r="335" spans="1:2" ht="14" x14ac:dyDescent="0.15">
      <c r="A335" s="19">
        <v>45991</v>
      </c>
      <c r="B335" s="21">
        <v>16.440000000000001</v>
      </c>
    </row>
    <row r="336" spans="1:2" ht="14" x14ac:dyDescent="0.15">
      <c r="A336" s="7">
        <v>45992</v>
      </c>
      <c r="B336" s="30">
        <f>11.52+8.35</f>
        <v>19.869999999999997</v>
      </c>
    </row>
    <row r="337" spans="1:2" ht="14" x14ac:dyDescent="0.15">
      <c r="A337" s="7">
        <v>45993</v>
      </c>
      <c r="B337" s="30">
        <f>12.41+9.02</f>
        <v>21.43</v>
      </c>
    </row>
    <row r="338" spans="1:2" ht="14" x14ac:dyDescent="0.15">
      <c r="A338" s="7">
        <v>45994</v>
      </c>
      <c r="B338" s="30">
        <f>12.5+8.01</f>
        <v>20.509999999999998</v>
      </c>
    </row>
    <row r="339" spans="1:2" ht="14" x14ac:dyDescent="0.15">
      <c r="A339" s="7">
        <v>45995</v>
      </c>
      <c r="B339" s="30">
        <v>12</v>
      </c>
    </row>
    <row r="340" spans="1:2" ht="14" x14ac:dyDescent="0.15">
      <c r="A340" s="7">
        <v>45996</v>
      </c>
      <c r="B340" s="30">
        <v>10</v>
      </c>
    </row>
    <row r="341" spans="1:2" ht="14" x14ac:dyDescent="0.15">
      <c r="A341" s="7">
        <v>45997</v>
      </c>
      <c r="B341" s="30">
        <f>4.51+6.02+3.5+11</f>
        <v>25.03</v>
      </c>
    </row>
    <row r="342" spans="1:2" ht="14" x14ac:dyDescent="0.15">
      <c r="A342" s="19">
        <v>45998</v>
      </c>
      <c r="B342" s="30">
        <v>16</v>
      </c>
    </row>
    <row r="343" spans="1:2" ht="14" x14ac:dyDescent="0.15">
      <c r="A343" s="7">
        <v>45999</v>
      </c>
      <c r="B343" s="16">
        <v>12.52</v>
      </c>
    </row>
    <row r="344" spans="1:2" ht="14" x14ac:dyDescent="0.15">
      <c r="A344" s="7">
        <v>46000</v>
      </c>
      <c r="B344" s="16">
        <f>12+4.02+3+3</f>
        <v>22.02</v>
      </c>
    </row>
    <row r="345" spans="1:2" ht="14" x14ac:dyDescent="0.15">
      <c r="A345" s="7">
        <v>46001</v>
      </c>
      <c r="B345" s="16">
        <v>0</v>
      </c>
    </row>
    <row r="346" spans="1:2" ht="14" x14ac:dyDescent="0.15">
      <c r="A346" s="7">
        <v>46002</v>
      </c>
      <c r="B346" s="16">
        <f>13+7.9</f>
        <v>20.9</v>
      </c>
    </row>
    <row r="347" spans="1:2" ht="14" x14ac:dyDescent="0.15">
      <c r="A347" s="7">
        <v>46003</v>
      </c>
      <c r="B347" s="16">
        <f>11.5+8</f>
        <v>19.5</v>
      </c>
    </row>
    <row r="348" spans="1:2" ht="14" x14ac:dyDescent="0.15">
      <c r="A348" s="7">
        <v>46004</v>
      </c>
      <c r="B348" s="16">
        <f>3.78+2.01+2.01+2+4.01+11</f>
        <v>24.81</v>
      </c>
    </row>
    <row r="349" spans="1:2" ht="14" x14ac:dyDescent="0.15">
      <c r="A349" s="19">
        <v>46005</v>
      </c>
      <c r="B349" s="16">
        <f>17+9</f>
        <v>26</v>
      </c>
    </row>
    <row r="350" spans="1:2" ht="14" x14ac:dyDescent="0.15">
      <c r="A350" s="7">
        <v>46006</v>
      </c>
      <c r="B350" s="15">
        <v>11.5</v>
      </c>
    </row>
    <row r="351" spans="1:2" ht="14" x14ac:dyDescent="0.15">
      <c r="A351" s="7">
        <v>46007</v>
      </c>
      <c r="B351" s="15">
        <v>12</v>
      </c>
    </row>
    <row r="352" spans="1:2" ht="14" x14ac:dyDescent="0.15">
      <c r="A352" s="7">
        <v>46008</v>
      </c>
      <c r="B352" s="15">
        <f>3.4+3.2+3.8</f>
        <v>10.399999999999999</v>
      </c>
    </row>
    <row r="353" spans="1:3" ht="14" x14ac:dyDescent="0.15">
      <c r="A353" s="7">
        <v>46009</v>
      </c>
      <c r="B353" s="15">
        <f>12+9</f>
        <v>21</v>
      </c>
    </row>
    <row r="354" spans="1:3" ht="14" x14ac:dyDescent="0.15">
      <c r="A354" s="7">
        <v>46010</v>
      </c>
      <c r="B354" s="15">
        <f>11+9.76</f>
        <v>20.759999999999998</v>
      </c>
    </row>
    <row r="355" spans="1:3" ht="14" x14ac:dyDescent="0.15">
      <c r="A355" s="7">
        <v>46011</v>
      </c>
      <c r="B355" s="15">
        <f>10+14</f>
        <v>24</v>
      </c>
    </row>
    <row r="356" spans="1:3" ht="14" x14ac:dyDescent="0.15">
      <c r="A356" s="19">
        <v>46012</v>
      </c>
      <c r="B356" s="15">
        <v>16</v>
      </c>
    </row>
    <row r="357" spans="1:3" ht="14" x14ac:dyDescent="0.15">
      <c r="A357" s="7">
        <v>46013</v>
      </c>
      <c r="B357" s="12">
        <f>11.5+10</f>
        <v>21.5</v>
      </c>
    </row>
    <row r="358" spans="1:3" ht="14" x14ac:dyDescent="0.15">
      <c r="A358" s="7">
        <v>46014</v>
      </c>
      <c r="B358" s="12">
        <f>12+10</f>
        <v>22</v>
      </c>
    </row>
    <row r="359" spans="1:3" ht="14" x14ac:dyDescent="0.15">
      <c r="A359" s="7">
        <v>46015</v>
      </c>
      <c r="B359" s="12">
        <v>14</v>
      </c>
    </row>
    <row r="360" spans="1:3" ht="14" x14ac:dyDescent="0.15">
      <c r="A360" s="7">
        <v>46016</v>
      </c>
      <c r="B360" s="12">
        <v>19.5</v>
      </c>
    </row>
    <row r="361" spans="1:3" ht="14" x14ac:dyDescent="0.15">
      <c r="A361" s="7">
        <v>46017</v>
      </c>
      <c r="B361" s="12">
        <f>11.5+10</f>
        <v>21.5</v>
      </c>
    </row>
    <row r="362" spans="1:3" ht="14" x14ac:dyDescent="0.15">
      <c r="A362" s="7">
        <v>46018</v>
      </c>
      <c r="B362" s="12">
        <f>5+5+2.5</f>
        <v>12.5</v>
      </c>
    </row>
    <row r="363" spans="1:3" ht="14" x14ac:dyDescent="0.15">
      <c r="A363" s="19">
        <v>46019</v>
      </c>
      <c r="B363" s="12">
        <f>16.8+12</f>
        <v>28.8</v>
      </c>
    </row>
    <row r="364" spans="1:3" ht="14" x14ac:dyDescent="0.15">
      <c r="A364" s="7">
        <v>46020</v>
      </c>
      <c r="B364" s="18">
        <v>10</v>
      </c>
    </row>
    <row r="365" spans="1:3" ht="14" x14ac:dyDescent="0.15">
      <c r="A365" s="7">
        <v>46021</v>
      </c>
      <c r="B365" s="18">
        <v>0</v>
      </c>
    </row>
    <row r="366" spans="1:3" ht="14" x14ac:dyDescent="0.15">
      <c r="A366" s="7">
        <v>46022</v>
      </c>
      <c r="B366" s="18">
        <f>5+10</f>
        <v>15</v>
      </c>
      <c r="C366">
        <f>SUM(B2:B366)</f>
        <v>5310.3700000000017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665E-01E6-2541-B6D6-BD10D4EAB5CE}">
  <dimension ref="A1:G299"/>
  <sheetViews>
    <sheetView tabSelected="1" topLeftCell="A64" workbookViewId="0">
      <selection activeCell="F79" sqref="F79"/>
    </sheetView>
  </sheetViews>
  <sheetFormatPr baseColWidth="10" defaultRowHeight="13" x14ac:dyDescent="0.15"/>
  <cols>
    <col min="1" max="1" width="2.33203125" style="41" customWidth="1"/>
    <col min="2" max="2" width="8.33203125" style="41" customWidth="1"/>
    <col min="3" max="3" width="6.1640625" customWidth="1"/>
    <col min="4" max="4" width="7" customWidth="1"/>
  </cols>
  <sheetData>
    <row r="1" spans="2:4" ht="20" customHeight="1" x14ac:dyDescent="0.15">
      <c r="B1" s="10" t="s">
        <v>0</v>
      </c>
      <c r="C1" s="10" t="s">
        <v>1</v>
      </c>
      <c r="D1" s="22" t="s">
        <v>2</v>
      </c>
    </row>
    <row r="2" spans="2:4" x14ac:dyDescent="0.15">
      <c r="B2" s="40">
        <v>46023</v>
      </c>
      <c r="C2" s="56">
        <v>18</v>
      </c>
      <c r="D2" s="38">
        <v>61.7</v>
      </c>
    </row>
    <row r="3" spans="2:4" x14ac:dyDescent="0.15">
      <c r="B3" s="40">
        <v>46024</v>
      </c>
      <c r="C3" s="56">
        <f>15+10</f>
        <v>25</v>
      </c>
      <c r="D3" s="38">
        <v>61.2</v>
      </c>
    </row>
    <row r="4" spans="2:4" x14ac:dyDescent="0.15">
      <c r="B4" s="40">
        <v>46025</v>
      </c>
      <c r="C4" s="56">
        <v>15</v>
      </c>
      <c r="D4" s="38">
        <v>61.2</v>
      </c>
    </row>
    <row r="5" spans="2:4" x14ac:dyDescent="0.15">
      <c r="B5" s="39">
        <v>46026</v>
      </c>
      <c r="C5" s="56">
        <f>17+11</f>
        <v>28</v>
      </c>
      <c r="D5" s="38">
        <v>61.4</v>
      </c>
    </row>
    <row r="6" spans="2:4" x14ac:dyDescent="0.15">
      <c r="B6" s="40">
        <v>46027</v>
      </c>
      <c r="C6" s="37">
        <f>11.5+10</f>
        <v>21.5</v>
      </c>
      <c r="D6" s="36">
        <v>60.4</v>
      </c>
    </row>
    <row r="7" spans="2:4" x14ac:dyDescent="0.15">
      <c r="B7" s="40">
        <v>46028</v>
      </c>
      <c r="C7" s="37">
        <v>17</v>
      </c>
      <c r="D7" s="36">
        <v>60.3</v>
      </c>
    </row>
    <row r="8" spans="2:4" x14ac:dyDescent="0.15">
      <c r="B8" s="40">
        <v>46029</v>
      </c>
      <c r="C8" s="37">
        <v>11.5</v>
      </c>
      <c r="D8" s="36">
        <v>59.6</v>
      </c>
    </row>
    <row r="9" spans="2:4" x14ac:dyDescent="0.15">
      <c r="B9" s="40">
        <v>46030</v>
      </c>
      <c r="C9" s="37">
        <v>15</v>
      </c>
      <c r="D9" s="36">
        <v>60.3</v>
      </c>
    </row>
    <row r="10" spans="2:4" x14ac:dyDescent="0.15">
      <c r="B10" s="40">
        <v>46031</v>
      </c>
      <c r="C10" s="37">
        <v>12</v>
      </c>
      <c r="D10" s="36">
        <v>59.6</v>
      </c>
    </row>
    <row r="11" spans="2:4" x14ac:dyDescent="0.15">
      <c r="B11" s="40">
        <v>46032</v>
      </c>
      <c r="C11" s="37">
        <f>14+15.5</f>
        <v>29.5</v>
      </c>
      <c r="D11" s="36">
        <v>59.7</v>
      </c>
    </row>
    <row r="12" spans="2:4" x14ac:dyDescent="0.15">
      <c r="B12" s="39">
        <v>46033</v>
      </c>
      <c r="C12" s="37">
        <v>15.5</v>
      </c>
      <c r="D12" s="37">
        <v>60</v>
      </c>
    </row>
    <row r="13" spans="2:4" x14ac:dyDescent="0.15">
      <c r="B13" s="40">
        <v>46034</v>
      </c>
      <c r="C13" s="57">
        <v>12</v>
      </c>
      <c r="D13" s="52">
        <v>60.2</v>
      </c>
    </row>
    <row r="14" spans="2:4" x14ac:dyDescent="0.15">
      <c r="B14" s="40">
        <v>46035</v>
      </c>
      <c r="C14" s="57">
        <v>14</v>
      </c>
      <c r="D14" s="52">
        <v>60.2</v>
      </c>
    </row>
    <row r="15" spans="2:4" x14ac:dyDescent="0.15">
      <c r="B15" s="40">
        <v>46036</v>
      </c>
      <c r="C15" s="57">
        <v>13.44</v>
      </c>
      <c r="D15" s="52">
        <v>59.9</v>
      </c>
    </row>
    <row r="16" spans="2:4" x14ac:dyDescent="0.15">
      <c r="B16" s="40">
        <v>46037</v>
      </c>
      <c r="C16" s="57">
        <v>16</v>
      </c>
      <c r="D16" s="52">
        <v>60.3</v>
      </c>
    </row>
    <row r="17" spans="2:4" x14ac:dyDescent="0.15">
      <c r="B17" s="40">
        <v>46038</v>
      </c>
      <c r="C17" s="57">
        <v>12</v>
      </c>
      <c r="D17" s="52">
        <v>59.8</v>
      </c>
    </row>
    <row r="18" spans="2:4" x14ac:dyDescent="0.15">
      <c r="B18" s="40">
        <v>46039</v>
      </c>
      <c r="C18" s="57">
        <v>24</v>
      </c>
      <c r="D18" s="52">
        <v>60.1</v>
      </c>
    </row>
    <row r="19" spans="2:4" x14ac:dyDescent="0.15">
      <c r="B19" s="39">
        <v>46040</v>
      </c>
      <c r="C19" s="57">
        <v>17</v>
      </c>
      <c r="D19" s="52">
        <v>60.5</v>
      </c>
    </row>
    <row r="20" spans="2:4" x14ac:dyDescent="0.15">
      <c r="B20" s="40">
        <v>46041</v>
      </c>
      <c r="C20" s="54">
        <v>13</v>
      </c>
      <c r="D20" s="53">
        <v>60.3</v>
      </c>
    </row>
    <row r="21" spans="2:4" x14ac:dyDescent="0.15">
      <c r="B21" s="40">
        <v>46042</v>
      </c>
      <c r="C21" s="54">
        <v>16</v>
      </c>
      <c r="D21" s="53">
        <v>60.6</v>
      </c>
    </row>
    <row r="22" spans="2:4" x14ac:dyDescent="0.15">
      <c r="B22" s="40">
        <v>46043</v>
      </c>
      <c r="C22" s="54">
        <v>0</v>
      </c>
      <c r="D22" s="53">
        <v>59.7</v>
      </c>
    </row>
    <row r="23" spans="2:4" x14ac:dyDescent="0.15">
      <c r="B23" s="40">
        <v>46044</v>
      </c>
      <c r="C23" s="54">
        <f>11.7+13.3</f>
        <v>25</v>
      </c>
      <c r="D23" s="53">
        <v>59.8</v>
      </c>
    </row>
    <row r="24" spans="2:4" x14ac:dyDescent="0.15">
      <c r="B24" s="40">
        <v>46045</v>
      </c>
      <c r="C24" s="54">
        <v>11.5</v>
      </c>
      <c r="D24" s="53">
        <v>59.8</v>
      </c>
    </row>
    <row r="25" spans="2:4" x14ac:dyDescent="0.15">
      <c r="B25" s="40">
        <v>46046</v>
      </c>
      <c r="C25" s="55">
        <f>15.5+15</f>
        <v>30.5</v>
      </c>
      <c r="D25" s="53">
        <v>60.1</v>
      </c>
    </row>
    <row r="26" spans="2:4" x14ac:dyDescent="0.15">
      <c r="B26" s="39">
        <v>46047</v>
      </c>
      <c r="C26" s="54">
        <v>18.3</v>
      </c>
      <c r="D26" s="53">
        <v>59.7</v>
      </c>
    </row>
    <row r="27" spans="2:4" x14ac:dyDescent="0.15">
      <c r="B27" s="40">
        <v>46048</v>
      </c>
      <c r="C27" s="58">
        <v>16.5</v>
      </c>
      <c r="D27" s="59">
        <v>60.6</v>
      </c>
    </row>
    <row r="28" spans="2:4" x14ac:dyDescent="0.15">
      <c r="B28" s="40">
        <v>46049</v>
      </c>
      <c r="C28" s="58">
        <v>15.5</v>
      </c>
      <c r="D28" s="59">
        <v>60.5</v>
      </c>
    </row>
    <row r="29" spans="2:4" x14ac:dyDescent="0.15">
      <c r="B29" s="40">
        <v>46050</v>
      </c>
      <c r="C29" s="58">
        <v>18</v>
      </c>
      <c r="D29" s="59">
        <v>59.7</v>
      </c>
    </row>
    <row r="30" spans="2:4" x14ac:dyDescent="0.15">
      <c r="B30" s="40">
        <v>46051</v>
      </c>
      <c r="C30" s="58">
        <v>14</v>
      </c>
      <c r="D30" s="59">
        <v>59.4</v>
      </c>
    </row>
    <row r="31" spans="2:4" x14ac:dyDescent="0.15">
      <c r="B31" s="40">
        <v>46052</v>
      </c>
      <c r="C31" s="58">
        <v>12</v>
      </c>
      <c r="D31" s="59">
        <v>59.5</v>
      </c>
    </row>
    <row r="32" spans="2:4" x14ac:dyDescent="0.15">
      <c r="B32" s="40">
        <v>46053</v>
      </c>
      <c r="C32" s="58">
        <v>30</v>
      </c>
      <c r="D32" s="59">
        <v>60.4</v>
      </c>
    </row>
    <row r="33" spans="2:4" x14ac:dyDescent="0.15">
      <c r="B33" s="39">
        <v>46054</v>
      </c>
      <c r="C33" s="58">
        <v>17</v>
      </c>
      <c r="D33" s="59">
        <v>60.6</v>
      </c>
    </row>
    <row r="34" spans="2:4" x14ac:dyDescent="0.15">
      <c r="B34" s="40">
        <v>46055</v>
      </c>
      <c r="C34" s="61">
        <v>16</v>
      </c>
      <c r="D34" s="62">
        <v>60.3</v>
      </c>
    </row>
    <row r="35" spans="2:4" x14ac:dyDescent="0.15">
      <c r="B35" s="40">
        <v>46056</v>
      </c>
      <c r="C35" s="61">
        <v>16</v>
      </c>
      <c r="D35" s="62">
        <v>59.9</v>
      </c>
    </row>
    <row r="36" spans="2:4" x14ac:dyDescent="0.15">
      <c r="B36" s="40">
        <v>46057</v>
      </c>
      <c r="C36" s="61">
        <v>0</v>
      </c>
      <c r="D36" s="62">
        <v>59.7</v>
      </c>
    </row>
    <row r="37" spans="2:4" x14ac:dyDescent="0.15">
      <c r="B37" s="40">
        <v>46058</v>
      </c>
      <c r="C37" s="61">
        <v>16</v>
      </c>
      <c r="D37" s="62">
        <v>59.6</v>
      </c>
    </row>
    <row r="38" spans="2:4" x14ac:dyDescent="0.15">
      <c r="B38" s="40">
        <v>46059</v>
      </c>
      <c r="C38" s="61">
        <v>14</v>
      </c>
      <c r="D38" s="62">
        <v>59.2</v>
      </c>
    </row>
    <row r="39" spans="2:4" x14ac:dyDescent="0.15">
      <c r="B39" s="40">
        <v>46060</v>
      </c>
      <c r="C39" s="61">
        <v>30</v>
      </c>
      <c r="D39" s="62">
        <v>59.4</v>
      </c>
    </row>
    <row r="40" spans="2:4" x14ac:dyDescent="0.15">
      <c r="B40" s="39">
        <v>46061</v>
      </c>
      <c r="C40" s="61">
        <v>18</v>
      </c>
      <c r="D40" s="62">
        <v>59.5</v>
      </c>
    </row>
    <row r="41" spans="2:4" x14ac:dyDescent="0.15">
      <c r="B41" s="40">
        <v>46062</v>
      </c>
      <c r="C41" s="64">
        <v>0</v>
      </c>
      <c r="D41" s="65">
        <v>59.6</v>
      </c>
    </row>
    <row r="42" spans="2:4" x14ac:dyDescent="0.15">
      <c r="B42" s="40">
        <v>46063</v>
      </c>
      <c r="C42" s="64">
        <v>16</v>
      </c>
      <c r="D42" s="65">
        <v>59.5</v>
      </c>
    </row>
    <row r="43" spans="2:4" x14ac:dyDescent="0.15">
      <c r="B43" s="40">
        <v>46064</v>
      </c>
      <c r="C43" s="64">
        <v>14</v>
      </c>
      <c r="D43" s="65">
        <v>59.6</v>
      </c>
    </row>
    <row r="44" spans="2:4" x14ac:dyDescent="0.15">
      <c r="B44" s="40">
        <v>46065</v>
      </c>
      <c r="C44" s="64">
        <v>16</v>
      </c>
      <c r="D44" s="65">
        <v>59.7</v>
      </c>
    </row>
    <row r="45" spans="2:4" x14ac:dyDescent="0.15">
      <c r="B45" s="40">
        <v>46066</v>
      </c>
      <c r="C45" s="64">
        <v>14</v>
      </c>
      <c r="D45" s="64">
        <v>59</v>
      </c>
    </row>
    <row r="46" spans="2:4" x14ac:dyDescent="0.15">
      <c r="B46" s="40">
        <v>46067</v>
      </c>
      <c r="C46" s="64">
        <v>30</v>
      </c>
      <c r="D46" s="65">
        <v>59.5</v>
      </c>
    </row>
    <row r="47" spans="2:4" x14ac:dyDescent="0.15">
      <c r="B47" s="39">
        <v>46068</v>
      </c>
      <c r="C47" s="64">
        <v>17</v>
      </c>
      <c r="D47" s="65">
        <v>59.7</v>
      </c>
    </row>
    <row r="48" spans="2:4" x14ac:dyDescent="0.15">
      <c r="B48" s="40">
        <v>46069</v>
      </c>
      <c r="C48" s="66">
        <v>16</v>
      </c>
      <c r="D48" s="67">
        <v>59.8</v>
      </c>
    </row>
    <row r="49" spans="2:4" x14ac:dyDescent="0.15">
      <c r="B49" s="40">
        <v>46070</v>
      </c>
      <c r="C49" s="66">
        <v>16</v>
      </c>
      <c r="D49" s="67">
        <v>59.8</v>
      </c>
    </row>
    <row r="50" spans="2:4" x14ac:dyDescent="0.15">
      <c r="B50" s="40">
        <v>46071</v>
      </c>
      <c r="C50" s="66">
        <v>18</v>
      </c>
      <c r="D50" s="67">
        <v>59.7</v>
      </c>
    </row>
    <row r="51" spans="2:4" x14ac:dyDescent="0.15">
      <c r="B51" s="40">
        <v>46072</v>
      </c>
      <c r="C51" s="66">
        <v>18</v>
      </c>
      <c r="D51" s="67">
        <v>59.3</v>
      </c>
    </row>
    <row r="52" spans="2:4" x14ac:dyDescent="0.15">
      <c r="B52" s="40">
        <v>46073</v>
      </c>
      <c r="C52" s="66">
        <v>16</v>
      </c>
      <c r="D52" s="67">
        <v>59</v>
      </c>
    </row>
    <row r="53" spans="2:4" x14ac:dyDescent="0.15">
      <c r="B53" s="40">
        <v>46074</v>
      </c>
      <c r="C53" s="66">
        <v>16</v>
      </c>
      <c r="D53" s="67">
        <v>59.5</v>
      </c>
    </row>
    <row r="54" spans="2:4" x14ac:dyDescent="0.15">
      <c r="B54" s="39">
        <v>46075</v>
      </c>
      <c r="C54" s="66">
        <v>18</v>
      </c>
      <c r="D54" s="67">
        <v>60.8</v>
      </c>
    </row>
    <row r="55" spans="2:4" x14ac:dyDescent="0.15">
      <c r="B55" s="40">
        <v>46076</v>
      </c>
      <c r="C55" s="70">
        <v>16</v>
      </c>
      <c r="D55" s="71">
        <v>60.6</v>
      </c>
    </row>
    <row r="56" spans="2:4" x14ac:dyDescent="0.15">
      <c r="B56" s="40">
        <v>46077</v>
      </c>
      <c r="C56" s="70">
        <v>18</v>
      </c>
      <c r="D56" s="71">
        <v>60.1</v>
      </c>
    </row>
    <row r="57" spans="2:4" x14ac:dyDescent="0.15">
      <c r="B57" s="40">
        <v>46078</v>
      </c>
      <c r="C57" s="70">
        <v>16</v>
      </c>
      <c r="D57" s="71">
        <v>59.7</v>
      </c>
    </row>
    <row r="58" spans="2:4" x14ac:dyDescent="0.15">
      <c r="B58" s="40">
        <v>46079</v>
      </c>
      <c r="C58" s="70">
        <v>18</v>
      </c>
      <c r="D58" s="71">
        <v>59.6</v>
      </c>
    </row>
    <row r="59" spans="2:4" x14ac:dyDescent="0.15">
      <c r="B59" s="40">
        <v>46080</v>
      </c>
      <c r="C59" s="70">
        <v>16</v>
      </c>
      <c r="D59" s="71">
        <v>59.8</v>
      </c>
    </row>
    <row r="60" spans="2:4" x14ac:dyDescent="0.15">
      <c r="B60" s="40">
        <v>46081</v>
      </c>
      <c r="C60" s="70">
        <v>31</v>
      </c>
      <c r="D60" s="71">
        <v>59.8</v>
      </c>
    </row>
    <row r="61" spans="2:4" x14ac:dyDescent="0.15">
      <c r="B61" s="39">
        <v>46082</v>
      </c>
      <c r="C61" s="70">
        <v>18</v>
      </c>
      <c r="D61" s="71">
        <v>60.4</v>
      </c>
    </row>
    <row r="62" spans="2:4" x14ac:dyDescent="0.15">
      <c r="B62" s="40">
        <v>46083</v>
      </c>
    </row>
    <row r="63" spans="2:4" x14ac:dyDescent="0.15">
      <c r="B63" s="40">
        <v>46084</v>
      </c>
    </row>
    <row r="64" spans="2:4" x14ac:dyDescent="0.15">
      <c r="B64" s="40">
        <v>46085</v>
      </c>
    </row>
    <row r="65" spans="2:2" x14ac:dyDescent="0.15">
      <c r="B65" s="40">
        <v>46086</v>
      </c>
    </row>
    <row r="66" spans="2:2" x14ac:dyDescent="0.15">
      <c r="B66" s="40">
        <v>46087</v>
      </c>
    </row>
    <row r="67" spans="2:2" x14ac:dyDescent="0.15">
      <c r="B67" s="40">
        <v>46088</v>
      </c>
    </row>
    <row r="68" spans="2:2" x14ac:dyDescent="0.15">
      <c r="B68" s="39">
        <v>46089</v>
      </c>
    </row>
    <row r="69" spans="2:2" x14ac:dyDescent="0.15">
      <c r="B69" s="40">
        <v>46090</v>
      </c>
    </row>
    <row r="70" spans="2:2" x14ac:dyDescent="0.15">
      <c r="B70" s="40">
        <v>46091</v>
      </c>
    </row>
    <row r="71" spans="2:2" x14ac:dyDescent="0.15">
      <c r="B71" s="40">
        <v>46092</v>
      </c>
    </row>
    <row r="72" spans="2:2" x14ac:dyDescent="0.15">
      <c r="B72" s="40">
        <v>46093</v>
      </c>
    </row>
    <row r="73" spans="2:2" x14ac:dyDescent="0.15">
      <c r="B73" s="40">
        <v>46094</v>
      </c>
    </row>
    <row r="74" spans="2:2" x14ac:dyDescent="0.15">
      <c r="B74" s="40">
        <v>46095</v>
      </c>
    </row>
    <row r="75" spans="2:2" x14ac:dyDescent="0.15">
      <c r="B75" s="39">
        <v>46096</v>
      </c>
    </row>
    <row r="76" spans="2:2" x14ac:dyDescent="0.15">
      <c r="B76" s="40">
        <v>46097</v>
      </c>
    </row>
    <row r="77" spans="2:2" x14ac:dyDescent="0.15">
      <c r="B77" s="40">
        <v>46098</v>
      </c>
    </row>
    <row r="78" spans="2:2" x14ac:dyDescent="0.15">
      <c r="B78" s="40">
        <v>46099</v>
      </c>
    </row>
    <row r="79" spans="2:2" x14ac:dyDescent="0.15">
      <c r="B79" s="40">
        <v>46100</v>
      </c>
    </row>
    <row r="80" spans="2:2" x14ac:dyDescent="0.15">
      <c r="B80" s="40">
        <v>46101</v>
      </c>
    </row>
    <row r="81" spans="1:4" x14ac:dyDescent="0.15">
      <c r="B81" s="40">
        <v>46102</v>
      </c>
    </row>
    <row r="82" spans="1:4" x14ac:dyDescent="0.15">
      <c r="B82" s="39">
        <v>46103</v>
      </c>
    </row>
    <row r="83" spans="1:4" x14ac:dyDescent="0.15">
      <c r="B83" s="40">
        <v>46104</v>
      </c>
    </row>
    <row r="84" spans="1:4" x14ac:dyDescent="0.15">
      <c r="B84" s="40">
        <v>46105</v>
      </c>
    </row>
    <row r="85" spans="1:4" x14ac:dyDescent="0.15">
      <c r="B85" s="40">
        <v>46106</v>
      </c>
    </row>
    <row r="86" spans="1:4" x14ac:dyDescent="0.15">
      <c r="B86" s="40">
        <v>46107</v>
      </c>
    </row>
    <row r="87" spans="1:4" x14ac:dyDescent="0.15">
      <c r="B87" s="40">
        <v>46108</v>
      </c>
    </row>
    <row r="88" spans="1:4" x14ac:dyDescent="0.15">
      <c r="B88" s="40">
        <v>46109</v>
      </c>
    </row>
    <row r="89" spans="1:4" x14ac:dyDescent="0.15">
      <c r="B89" s="39">
        <v>46110</v>
      </c>
    </row>
    <row r="90" spans="1:4" x14ac:dyDescent="0.15">
      <c r="B90" s="40">
        <v>46111</v>
      </c>
    </row>
    <row r="91" spans="1:4" x14ac:dyDescent="0.15">
      <c r="A91" s="50"/>
      <c r="B91" s="72">
        <v>46112</v>
      </c>
      <c r="C91" s="48"/>
      <c r="D91" s="48"/>
    </row>
    <row r="92" spans="1:4" x14ac:dyDescent="0.15">
      <c r="B92" s="40">
        <v>46113</v>
      </c>
    </row>
    <row r="93" spans="1:4" x14ac:dyDescent="0.15">
      <c r="B93" s="40">
        <v>46114</v>
      </c>
    </row>
    <row r="94" spans="1:4" x14ac:dyDescent="0.15">
      <c r="B94" s="40">
        <v>46115</v>
      </c>
    </row>
    <row r="95" spans="1:4" x14ac:dyDescent="0.15">
      <c r="B95" s="40">
        <v>46116</v>
      </c>
    </row>
    <row r="96" spans="1:4" x14ac:dyDescent="0.15">
      <c r="B96" s="39">
        <v>46117</v>
      </c>
    </row>
    <row r="97" spans="2:2" x14ac:dyDescent="0.15">
      <c r="B97" s="40">
        <v>46118</v>
      </c>
    </row>
    <row r="98" spans="2:2" x14ac:dyDescent="0.15">
      <c r="B98" s="40">
        <v>46119</v>
      </c>
    </row>
    <row r="99" spans="2:2" x14ac:dyDescent="0.15">
      <c r="B99" s="40">
        <v>46120</v>
      </c>
    </row>
    <row r="100" spans="2:2" x14ac:dyDescent="0.15">
      <c r="B100" s="40">
        <v>46121</v>
      </c>
    </row>
    <row r="101" spans="2:2" x14ac:dyDescent="0.15">
      <c r="B101" s="40">
        <v>46122</v>
      </c>
    </row>
    <row r="102" spans="2:2" x14ac:dyDescent="0.15">
      <c r="B102" s="40">
        <v>46123</v>
      </c>
    </row>
    <row r="103" spans="2:2" x14ac:dyDescent="0.15">
      <c r="B103" s="39">
        <v>46124</v>
      </c>
    </row>
    <row r="104" spans="2:2" x14ac:dyDescent="0.15">
      <c r="B104" s="40">
        <v>46125</v>
      </c>
    </row>
    <row r="105" spans="2:2" x14ac:dyDescent="0.15">
      <c r="B105" s="40">
        <v>46126</v>
      </c>
    </row>
    <row r="106" spans="2:2" x14ac:dyDescent="0.15">
      <c r="B106" s="40">
        <v>46127</v>
      </c>
    </row>
    <row r="107" spans="2:2" x14ac:dyDescent="0.15">
      <c r="B107" s="40">
        <v>46128</v>
      </c>
    </row>
    <row r="108" spans="2:2" x14ac:dyDescent="0.15">
      <c r="B108" s="40">
        <v>46129</v>
      </c>
    </row>
    <row r="109" spans="2:2" x14ac:dyDescent="0.15">
      <c r="B109" s="40">
        <v>46130</v>
      </c>
    </row>
    <row r="110" spans="2:2" x14ac:dyDescent="0.15">
      <c r="B110" s="39">
        <v>46131</v>
      </c>
    </row>
    <row r="111" spans="2:2" x14ac:dyDescent="0.15">
      <c r="B111" s="40">
        <v>46132</v>
      </c>
    </row>
    <row r="112" spans="2:2" x14ac:dyDescent="0.15">
      <c r="B112" s="40">
        <v>46133</v>
      </c>
    </row>
    <row r="113" spans="1:4" x14ac:dyDescent="0.15">
      <c r="B113" s="40">
        <v>46134</v>
      </c>
    </row>
    <row r="114" spans="1:4" x14ac:dyDescent="0.15">
      <c r="B114" s="40">
        <v>46135</v>
      </c>
    </row>
    <row r="115" spans="1:4" x14ac:dyDescent="0.15">
      <c r="B115" s="40">
        <v>46136</v>
      </c>
    </row>
    <row r="116" spans="1:4" x14ac:dyDescent="0.15">
      <c r="B116" s="40">
        <v>46137</v>
      </c>
    </row>
    <row r="117" spans="1:4" x14ac:dyDescent="0.15">
      <c r="B117" s="39">
        <v>46138</v>
      </c>
    </row>
    <row r="118" spans="1:4" x14ac:dyDescent="0.15">
      <c r="B118" s="40">
        <v>46139</v>
      </c>
    </row>
    <row r="119" spans="1:4" x14ac:dyDescent="0.15">
      <c r="B119" s="40">
        <v>46140</v>
      </c>
    </row>
    <row r="120" spans="1:4" x14ac:dyDescent="0.15">
      <c r="B120" s="40">
        <v>46141</v>
      </c>
    </row>
    <row r="121" spans="1:4" x14ac:dyDescent="0.15">
      <c r="B121" s="40">
        <v>46142</v>
      </c>
    </row>
    <row r="122" spans="1:4" x14ac:dyDescent="0.15">
      <c r="B122" s="40">
        <v>46143</v>
      </c>
    </row>
    <row r="123" spans="1:4" x14ac:dyDescent="0.15">
      <c r="B123" s="40">
        <v>46144</v>
      </c>
    </row>
    <row r="124" spans="1:4" x14ac:dyDescent="0.15">
      <c r="A124" s="50"/>
      <c r="B124" s="60">
        <v>46145</v>
      </c>
      <c r="C124" s="48"/>
      <c r="D124" s="48"/>
    </row>
    <row r="125" spans="1:4" ht="14" x14ac:dyDescent="0.15">
      <c r="A125" s="49" t="s">
        <v>3</v>
      </c>
      <c r="B125" s="40">
        <v>46146</v>
      </c>
      <c r="C125" s="42">
        <v>19</v>
      </c>
      <c r="D125">
        <v>61.1</v>
      </c>
    </row>
    <row r="126" spans="1:4" ht="14" x14ac:dyDescent="0.15">
      <c r="A126" s="49" t="s">
        <v>4</v>
      </c>
      <c r="B126" s="40">
        <v>46147</v>
      </c>
      <c r="C126" s="42">
        <v>17</v>
      </c>
      <c r="D126">
        <v>60.7</v>
      </c>
    </row>
    <row r="127" spans="1:4" ht="14" x14ac:dyDescent="0.15">
      <c r="A127" s="49" t="s">
        <v>5</v>
      </c>
      <c r="B127" s="40">
        <v>46148</v>
      </c>
      <c r="C127" s="42">
        <v>19</v>
      </c>
      <c r="D127">
        <v>60.3</v>
      </c>
    </row>
    <row r="128" spans="1:4" ht="14" x14ac:dyDescent="0.15">
      <c r="A128" s="49" t="s">
        <v>6</v>
      </c>
      <c r="B128" s="40">
        <v>46149</v>
      </c>
      <c r="C128" s="42">
        <v>17</v>
      </c>
      <c r="D128">
        <v>60</v>
      </c>
    </row>
    <row r="129" spans="1:4" ht="14" x14ac:dyDescent="0.15">
      <c r="A129" s="49" t="s">
        <v>7</v>
      </c>
      <c r="B129" s="40">
        <v>46150</v>
      </c>
      <c r="C129" s="42">
        <v>16</v>
      </c>
      <c r="D129">
        <v>59.7</v>
      </c>
    </row>
    <row r="130" spans="1:4" ht="14" x14ac:dyDescent="0.15">
      <c r="A130" s="49" t="s">
        <v>8</v>
      </c>
      <c r="B130" s="40">
        <v>46151</v>
      </c>
      <c r="C130" s="42">
        <v>15</v>
      </c>
      <c r="D130">
        <v>60.2</v>
      </c>
    </row>
    <row r="131" spans="1:4" ht="14" x14ac:dyDescent="0.15">
      <c r="A131" s="50" t="s">
        <v>9</v>
      </c>
      <c r="B131" s="60">
        <v>46152</v>
      </c>
      <c r="C131" s="45">
        <v>20</v>
      </c>
      <c r="D131" s="48">
        <v>61.5</v>
      </c>
    </row>
    <row r="132" spans="1:4" ht="14" x14ac:dyDescent="0.15">
      <c r="A132" s="49" t="s">
        <v>3</v>
      </c>
      <c r="B132" s="40">
        <v>46153</v>
      </c>
      <c r="C132" s="42">
        <v>19</v>
      </c>
      <c r="D132">
        <v>61.5</v>
      </c>
    </row>
    <row r="133" spans="1:4" ht="14" x14ac:dyDescent="0.15">
      <c r="A133" s="49" t="s">
        <v>4</v>
      </c>
      <c r="B133" s="40">
        <v>46154</v>
      </c>
      <c r="C133" s="42">
        <v>17</v>
      </c>
      <c r="D133">
        <v>60.2</v>
      </c>
    </row>
    <row r="134" spans="1:4" ht="14" x14ac:dyDescent="0.15">
      <c r="A134" s="49" t="s">
        <v>5</v>
      </c>
      <c r="B134" s="40">
        <v>46155</v>
      </c>
      <c r="C134" s="42">
        <v>19</v>
      </c>
      <c r="D134">
        <v>60</v>
      </c>
    </row>
    <row r="135" spans="1:4" ht="14" x14ac:dyDescent="0.15">
      <c r="A135" s="49" t="s">
        <v>6</v>
      </c>
      <c r="B135" s="40">
        <v>46156</v>
      </c>
      <c r="C135" s="42">
        <v>17</v>
      </c>
      <c r="D135">
        <v>59.8</v>
      </c>
    </row>
    <row r="136" spans="1:4" ht="14" x14ac:dyDescent="0.15">
      <c r="A136" s="49" t="s">
        <v>7</v>
      </c>
      <c r="B136" s="40">
        <v>46157</v>
      </c>
      <c r="C136" s="42">
        <v>16.5</v>
      </c>
      <c r="D136">
        <v>59.2</v>
      </c>
    </row>
    <row r="137" spans="1:4" ht="14" x14ac:dyDescent="0.15">
      <c r="A137" s="49" t="s">
        <v>8</v>
      </c>
      <c r="B137" s="40">
        <v>46158</v>
      </c>
      <c r="C137" s="42">
        <v>15</v>
      </c>
      <c r="D137">
        <v>60.1</v>
      </c>
    </row>
    <row r="138" spans="1:4" ht="14" x14ac:dyDescent="0.15">
      <c r="A138" s="50" t="s">
        <v>9</v>
      </c>
      <c r="B138" s="60">
        <v>46159</v>
      </c>
      <c r="C138" s="45">
        <v>20</v>
      </c>
      <c r="D138" s="48">
        <v>60.9</v>
      </c>
    </row>
    <row r="139" spans="1:4" ht="14" x14ac:dyDescent="0.15">
      <c r="A139" s="49" t="s">
        <v>3</v>
      </c>
      <c r="B139" s="40">
        <v>46160</v>
      </c>
      <c r="C139" s="42">
        <v>19</v>
      </c>
      <c r="D139">
        <v>60.8</v>
      </c>
    </row>
    <row r="140" spans="1:4" ht="14" x14ac:dyDescent="0.15">
      <c r="A140" s="49" t="s">
        <v>4</v>
      </c>
      <c r="B140" s="40">
        <v>46161</v>
      </c>
      <c r="C140" s="42">
        <v>17</v>
      </c>
      <c r="D140">
        <v>60.2</v>
      </c>
    </row>
    <row r="141" spans="1:4" ht="14" x14ac:dyDescent="0.15">
      <c r="A141" s="49" t="s">
        <v>5</v>
      </c>
      <c r="B141" s="40">
        <v>46162</v>
      </c>
      <c r="C141" s="42">
        <v>18</v>
      </c>
      <c r="D141">
        <v>60</v>
      </c>
    </row>
    <row r="142" spans="1:4" ht="14" x14ac:dyDescent="0.15">
      <c r="A142" s="49" t="s">
        <v>6</v>
      </c>
      <c r="B142" s="40">
        <v>46163</v>
      </c>
      <c r="C142" s="42">
        <v>17</v>
      </c>
      <c r="D142">
        <v>59.8</v>
      </c>
    </row>
    <row r="143" spans="1:4" ht="14" x14ac:dyDescent="0.15">
      <c r="A143" s="49" t="s">
        <v>7</v>
      </c>
      <c r="B143" s="40">
        <v>46164</v>
      </c>
      <c r="C143" s="42">
        <v>16</v>
      </c>
      <c r="D143">
        <v>59.2</v>
      </c>
    </row>
    <row r="144" spans="1:4" ht="14" x14ac:dyDescent="0.15">
      <c r="A144" s="49" t="s">
        <v>8</v>
      </c>
      <c r="B144" s="40">
        <v>46165</v>
      </c>
      <c r="C144" s="42">
        <v>25.1</v>
      </c>
      <c r="D144">
        <v>60.1</v>
      </c>
    </row>
    <row r="145" spans="1:4" ht="14" x14ac:dyDescent="0.15">
      <c r="A145" s="50" t="s">
        <v>9</v>
      </c>
      <c r="B145" s="60">
        <v>46166</v>
      </c>
      <c r="C145" s="45">
        <v>20</v>
      </c>
      <c r="D145" s="48">
        <v>60.9</v>
      </c>
    </row>
    <row r="146" spans="1:4" ht="14" x14ac:dyDescent="0.15">
      <c r="A146" s="49" t="s">
        <v>3</v>
      </c>
      <c r="B146" s="40">
        <v>46167</v>
      </c>
      <c r="C146" s="42">
        <v>19</v>
      </c>
      <c r="D146">
        <v>61.2</v>
      </c>
    </row>
    <row r="147" spans="1:4" ht="14" x14ac:dyDescent="0.15">
      <c r="A147" s="49" t="s">
        <v>4</v>
      </c>
      <c r="B147" s="40">
        <v>46168</v>
      </c>
      <c r="C147" s="42">
        <v>0</v>
      </c>
      <c r="D147">
        <v>60.1</v>
      </c>
    </row>
    <row r="148" spans="1:4" ht="14" x14ac:dyDescent="0.15">
      <c r="A148" s="49" t="s">
        <v>5</v>
      </c>
      <c r="B148" s="40">
        <v>46169</v>
      </c>
      <c r="C148" s="42">
        <v>22</v>
      </c>
      <c r="D148">
        <v>60.4</v>
      </c>
    </row>
    <row r="149" spans="1:4" ht="14" x14ac:dyDescent="0.15">
      <c r="A149" s="49" t="s">
        <v>6</v>
      </c>
      <c r="B149" s="40">
        <v>46170</v>
      </c>
      <c r="C149" s="42">
        <v>16</v>
      </c>
      <c r="D149">
        <v>59.5</v>
      </c>
    </row>
    <row r="150" spans="1:4" ht="14" x14ac:dyDescent="0.15">
      <c r="A150" s="49" t="s">
        <v>7</v>
      </c>
      <c r="B150" s="40">
        <v>46171</v>
      </c>
      <c r="C150" s="42">
        <v>16</v>
      </c>
      <c r="D150">
        <v>59.7</v>
      </c>
    </row>
    <row r="151" spans="1:4" ht="14" x14ac:dyDescent="0.15">
      <c r="A151" s="49" t="s">
        <v>8</v>
      </c>
      <c r="B151" s="40">
        <v>46172</v>
      </c>
      <c r="C151" s="42">
        <v>16</v>
      </c>
      <c r="D151">
        <v>60.3</v>
      </c>
    </row>
    <row r="152" spans="1:4" ht="14" x14ac:dyDescent="0.15">
      <c r="A152" s="50" t="s">
        <v>9</v>
      </c>
      <c r="B152" s="60">
        <v>46173</v>
      </c>
      <c r="C152" s="69">
        <v>20</v>
      </c>
      <c r="D152" s="51">
        <v>60.3</v>
      </c>
    </row>
    <row r="153" spans="1:4" ht="14" x14ac:dyDescent="0.15">
      <c r="A153" s="49" t="s">
        <v>3</v>
      </c>
      <c r="B153" s="40">
        <v>46174</v>
      </c>
      <c r="C153" s="42">
        <v>0</v>
      </c>
      <c r="D153" s="43"/>
    </row>
    <row r="154" spans="1:4" ht="14" x14ac:dyDescent="0.15">
      <c r="A154" s="49" t="s">
        <v>4</v>
      </c>
      <c r="B154" s="40">
        <v>46175</v>
      </c>
      <c r="C154" s="42">
        <v>0</v>
      </c>
      <c r="D154" s="43"/>
    </row>
    <row r="155" spans="1:4" ht="14" x14ac:dyDescent="0.15">
      <c r="A155" s="49" t="s">
        <v>5</v>
      </c>
      <c r="B155" s="40">
        <v>46176</v>
      </c>
      <c r="C155" s="42">
        <v>0</v>
      </c>
      <c r="D155" s="43"/>
    </row>
    <row r="156" spans="1:4" ht="14" x14ac:dyDescent="0.15">
      <c r="A156" s="49" t="s">
        <v>6</v>
      </c>
      <c r="B156" s="40">
        <v>46177</v>
      </c>
      <c r="C156" s="42">
        <v>0</v>
      </c>
      <c r="D156" s="43"/>
    </row>
    <row r="157" spans="1:4" ht="14" x14ac:dyDescent="0.15">
      <c r="A157" s="49" t="s">
        <v>7</v>
      </c>
      <c r="B157" s="40">
        <v>46178</v>
      </c>
      <c r="C157" s="42">
        <v>10</v>
      </c>
      <c r="D157" s="43"/>
    </row>
    <row r="158" spans="1:4" ht="14" x14ac:dyDescent="0.15">
      <c r="A158" s="49" t="s">
        <v>8</v>
      </c>
      <c r="B158" s="40">
        <v>46179</v>
      </c>
      <c r="C158" s="42">
        <v>15.5</v>
      </c>
      <c r="D158" s="43"/>
    </row>
    <row r="159" spans="1:4" ht="14" x14ac:dyDescent="0.15">
      <c r="A159" s="50" t="s">
        <v>9</v>
      </c>
      <c r="B159" s="60">
        <v>46180</v>
      </c>
      <c r="C159" s="45">
        <v>17.5</v>
      </c>
      <c r="D159" s="63"/>
    </row>
    <row r="160" spans="1:4" ht="14" x14ac:dyDescent="0.15">
      <c r="A160" s="49" t="s">
        <v>3</v>
      </c>
      <c r="B160" s="40">
        <v>46181</v>
      </c>
      <c r="C160" s="42">
        <v>15</v>
      </c>
      <c r="D160" s="43"/>
    </row>
    <row r="161" spans="1:4" ht="14" x14ac:dyDescent="0.15">
      <c r="A161" s="49" t="s">
        <v>4</v>
      </c>
      <c r="B161" s="40">
        <v>46182</v>
      </c>
      <c r="C161" s="42">
        <v>15</v>
      </c>
      <c r="D161" s="43"/>
    </row>
    <row r="162" spans="1:4" ht="14" x14ac:dyDescent="0.15">
      <c r="A162" s="49" t="s">
        <v>5</v>
      </c>
      <c r="B162" s="40">
        <v>46183</v>
      </c>
      <c r="C162" s="42">
        <v>15.4</v>
      </c>
      <c r="D162" s="43"/>
    </row>
    <row r="163" spans="1:4" ht="14" x14ac:dyDescent="0.15">
      <c r="A163" s="49" t="s">
        <v>6</v>
      </c>
      <c r="B163" s="40">
        <v>46184</v>
      </c>
      <c r="C163" s="42">
        <v>15</v>
      </c>
      <c r="D163" s="43"/>
    </row>
    <row r="164" spans="1:4" ht="14" x14ac:dyDescent="0.15">
      <c r="A164" s="49" t="s">
        <v>7</v>
      </c>
      <c r="B164" s="40">
        <v>46185</v>
      </c>
      <c r="C164" s="42">
        <v>15</v>
      </c>
      <c r="D164" s="43"/>
    </row>
    <row r="165" spans="1:4" ht="14" x14ac:dyDescent="0.15">
      <c r="A165" s="49" t="s">
        <v>8</v>
      </c>
      <c r="B165" s="40">
        <v>46186</v>
      </c>
      <c r="C165" s="42">
        <v>14.5</v>
      </c>
      <c r="D165" s="43"/>
    </row>
    <row r="166" spans="1:4" ht="14" x14ac:dyDescent="0.15">
      <c r="A166" s="50" t="s">
        <v>9</v>
      </c>
      <c r="B166" s="60">
        <v>46187</v>
      </c>
      <c r="C166" s="45">
        <v>18</v>
      </c>
      <c r="D166" s="63"/>
    </row>
    <row r="167" spans="1:4" ht="14" x14ac:dyDescent="0.15">
      <c r="A167" s="49" t="s">
        <v>3</v>
      </c>
      <c r="B167" s="40">
        <v>46188</v>
      </c>
      <c r="C167" s="42">
        <v>13.75</v>
      </c>
      <c r="D167" s="43"/>
    </row>
    <row r="168" spans="1:4" ht="14" x14ac:dyDescent="0.15">
      <c r="A168" s="49" t="s">
        <v>4</v>
      </c>
      <c r="B168" s="40">
        <v>46189</v>
      </c>
      <c r="C168" s="42">
        <v>15.5</v>
      </c>
      <c r="D168" s="43"/>
    </row>
    <row r="169" spans="1:4" ht="14" x14ac:dyDescent="0.15">
      <c r="A169" s="49" t="s">
        <v>5</v>
      </c>
      <c r="B169" s="40">
        <v>46190</v>
      </c>
      <c r="C169" s="42">
        <v>3.5</v>
      </c>
      <c r="D169" s="43"/>
    </row>
    <row r="170" spans="1:4" ht="14" x14ac:dyDescent="0.15">
      <c r="A170" s="49" t="s">
        <v>6</v>
      </c>
      <c r="B170" s="40">
        <v>46191</v>
      </c>
      <c r="C170" s="42">
        <v>16</v>
      </c>
      <c r="D170" s="43"/>
    </row>
    <row r="171" spans="1:4" ht="14" x14ac:dyDescent="0.15">
      <c r="A171" s="49" t="s">
        <v>7</v>
      </c>
      <c r="B171" s="40">
        <v>46192</v>
      </c>
      <c r="C171" s="42">
        <v>16</v>
      </c>
      <c r="D171" s="43"/>
    </row>
    <row r="172" spans="1:4" ht="14" x14ac:dyDescent="0.15">
      <c r="A172" s="49" t="s">
        <v>8</v>
      </c>
      <c r="B172" s="40">
        <v>46193</v>
      </c>
      <c r="C172" s="42">
        <v>15</v>
      </c>
      <c r="D172" s="43"/>
    </row>
    <row r="173" spans="1:4" ht="14" x14ac:dyDescent="0.15">
      <c r="A173" s="50" t="s">
        <v>9</v>
      </c>
      <c r="B173" s="60">
        <v>46194</v>
      </c>
      <c r="C173" s="45">
        <v>19</v>
      </c>
      <c r="D173" s="45">
        <v>60.3</v>
      </c>
    </row>
    <row r="174" spans="1:4" ht="14" x14ac:dyDescent="0.15">
      <c r="A174" s="49" t="s">
        <v>3</v>
      </c>
      <c r="B174" s="40">
        <v>46195</v>
      </c>
      <c r="C174" s="42">
        <v>15</v>
      </c>
      <c r="D174" s="42">
        <v>60.4</v>
      </c>
    </row>
    <row r="175" spans="1:4" ht="14" x14ac:dyDescent="0.15">
      <c r="A175" s="49" t="s">
        <v>4</v>
      </c>
      <c r="B175" s="40">
        <v>46196</v>
      </c>
      <c r="C175" s="42">
        <v>15.25</v>
      </c>
      <c r="D175" s="42">
        <v>60.3</v>
      </c>
    </row>
    <row r="176" spans="1:4" ht="14" x14ac:dyDescent="0.15">
      <c r="A176" s="49" t="s">
        <v>5</v>
      </c>
      <c r="B176" s="40">
        <v>46197</v>
      </c>
      <c r="C176" s="42">
        <v>15.25</v>
      </c>
      <c r="D176" s="42">
        <v>60.1</v>
      </c>
    </row>
    <row r="177" spans="1:4" ht="14" x14ac:dyDescent="0.15">
      <c r="A177" s="49" t="s">
        <v>6</v>
      </c>
      <c r="B177" s="40">
        <v>46198</v>
      </c>
      <c r="C177" s="42">
        <v>15.5</v>
      </c>
      <c r="D177" s="42">
        <v>60.1</v>
      </c>
    </row>
    <row r="178" spans="1:4" ht="14" x14ac:dyDescent="0.15">
      <c r="A178" s="49" t="s">
        <v>7</v>
      </c>
      <c r="B178" s="40">
        <v>46199</v>
      </c>
      <c r="C178" s="42">
        <v>15.25</v>
      </c>
      <c r="D178" s="42">
        <v>60.4</v>
      </c>
    </row>
    <row r="179" spans="1:4" ht="14" x14ac:dyDescent="0.15">
      <c r="A179" s="49" t="s">
        <v>8</v>
      </c>
      <c r="B179" s="40">
        <v>46200</v>
      </c>
      <c r="C179" s="42">
        <v>15.5</v>
      </c>
      <c r="D179" s="42">
        <v>60.6</v>
      </c>
    </row>
    <row r="180" spans="1:4" ht="14" x14ac:dyDescent="0.15">
      <c r="A180" s="50" t="s">
        <v>9</v>
      </c>
      <c r="B180" s="60">
        <v>46201</v>
      </c>
      <c r="C180" s="45">
        <v>18</v>
      </c>
      <c r="D180" s="45">
        <v>60.8</v>
      </c>
    </row>
    <row r="181" spans="1:4" ht="14" x14ac:dyDescent="0.15">
      <c r="A181" s="49" t="s">
        <v>3</v>
      </c>
      <c r="B181" s="40">
        <v>46202</v>
      </c>
      <c r="C181" s="42">
        <v>15.5</v>
      </c>
      <c r="D181" s="42">
        <v>60.8</v>
      </c>
    </row>
    <row r="182" spans="1:4" ht="14" x14ac:dyDescent="0.15">
      <c r="A182" s="49" t="s">
        <v>4</v>
      </c>
      <c r="B182" s="40">
        <v>46203</v>
      </c>
      <c r="C182" s="42">
        <v>16.25</v>
      </c>
      <c r="D182" s="42">
        <v>60.5</v>
      </c>
    </row>
    <row r="183" spans="1:4" ht="14" x14ac:dyDescent="0.15">
      <c r="A183" s="49" t="s">
        <v>5</v>
      </c>
      <c r="B183" s="40">
        <v>46204</v>
      </c>
      <c r="C183" s="42">
        <v>15.5</v>
      </c>
      <c r="D183" s="42">
        <v>60.5</v>
      </c>
    </row>
    <row r="184" spans="1:4" ht="14" x14ac:dyDescent="0.15">
      <c r="A184" s="49" t="s">
        <v>6</v>
      </c>
      <c r="B184" s="40">
        <v>46205</v>
      </c>
      <c r="C184" s="42">
        <v>16</v>
      </c>
      <c r="D184" s="42">
        <v>59.9</v>
      </c>
    </row>
    <row r="185" spans="1:4" ht="14" x14ac:dyDescent="0.15">
      <c r="A185" s="49" t="s">
        <v>7</v>
      </c>
      <c r="B185" s="40">
        <v>46206</v>
      </c>
      <c r="C185" s="42">
        <v>16</v>
      </c>
      <c r="D185" s="42">
        <v>60.2</v>
      </c>
    </row>
    <row r="186" spans="1:4" ht="14" x14ac:dyDescent="0.15">
      <c r="A186" s="49" t="s">
        <v>8</v>
      </c>
      <c r="B186" s="40">
        <v>46207</v>
      </c>
      <c r="C186" s="42">
        <v>15.5</v>
      </c>
      <c r="D186" s="42">
        <v>60.6</v>
      </c>
    </row>
    <row r="187" spans="1:4" ht="14" x14ac:dyDescent="0.15">
      <c r="A187" s="50" t="s">
        <v>9</v>
      </c>
      <c r="B187" s="60">
        <v>46208</v>
      </c>
      <c r="C187" s="45">
        <v>19</v>
      </c>
      <c r="D187" s="45">
        <v>60.6</v>
      </c>
    </row>
    <row r="188" spans="1:4" ht="14" x14ac:dyDescent="0.15">
      <c r="A188" s="49" t="s">
        <v>3</v>
      </c>
      <c r="B188" s="40">
        <v>46209</v>
      </c>
      <c r="C188" s="42">
        <v>0</v>
      </c>
      <c r="D188" s="42">
        <v>60.9</v>
      </c>
    </row>
    <row r="189" spans="1:4" ht="14" x14ac:dyDescent="0.15">
      <c r="A189" s="49" t="s">
        <v>4</v>
      </c>
      <c r="B189" s="40">
        <v>46210</v>
      </c>
      <c r="C189" s="42">
        <v>15.5</v>
      </c>
      <c r="D189" s="42">
        <v>60.4</v>
      </c>
    </row>
    <row r="190" spans="1:4" ht="14" x14ac:dyDescent="0.15">
      <c r="A190" s="49" t="s">
        <v>5</v>
      </c>
      <c r="B190" s="40">
        <v>46211</v>
      </c>
      <c r="C190" s="42">
        <v>15.5</v>
      </c>
      <c r="D190" s="42">
        <v>59.9</v>
      </c>
    </row>
    <row r="191" spans="1:4" ht="14" x14ac:dyDescent="0.15">
      <c r="A191" s="49" t="s">
        <v>6</v>
      </c>
      <c r="B191" s="40">
        <v>46212</v>
      </c>
      <c r="C191" s="42">
        <v>16</v>
      </c>
      <c r="D191" s="42">
        <v>59.9</v>
      </c>
    </row>
    <row r="192" spans="1:4" ht="14" x14ac:dyDescent="0.15">
      <c r="A192" s="49" t="s">
        <v>7</v>
      </c>
      <c r="B192" s="40">
        <v>46213</v>
      </c>
      <c r="C192" s="42">
        <v>10</v>
      </c>
      <c r="D192" s="42">
        <v>59.9</v>
      </c>
    </row>
    <row r="193" spans="1:4" ht="14" x14ac:dyDescent="0.15">
      <c r="A193" s="49" t="s">
        <v>8</v>
      </c>
      <c r="B193" s="40">
        <v>46214</v>
      </c>
      <c r="C193" s="42">
        <v>16</v>
      </c>
      <c r="D193" s="42">
        <v>60.3</v>
      </c>
    </row>
    <row r="194" spans="1:4" ht="14" x14ac:dyDescent="0.15">
      <c r="A194" s="50" t="s">
        <v>9</v>
      </c>
      <c r="B194" s="60">
        <v>46215</v>
      </c>
      <c r="C194" s="45">
        <v>18</v>
      </c>
      <c r="D194" s="45">
        <v>60.6</v>
      </c>
    </row>
    <row r="195" spans="1:4" ht="14" x14ac:dyDescent="0.15">
      <c r="A195" s="49" t="s">
        <v>3</v>
      </c>
      <c r="B195" s="40">
        <v>46216</v>
      </c>
      <c r="C195" s="42">
        <v>15.5</v>
      </c>
      <c r="D195" s="42">
        <v>60.9</v>
      </c>
    </row>
    <row r="196" spans="1:4" ht="14" x14ac:dyDescent="0.15">
      <c r="A196" s="49" t="s">
        <v>4</v>
      </c>
      <c r="B196" s="40">
        <v>46217</v>
      </c>
      <c r="C196" s="42">
        <v>15.5</v>
      </c>
      <c r="D196" s="42">
        <v>60.5</v>
      </c>
    </row>
    <row r="197" spans="1:4" ht="14" x14ac:dyDescent="0.15">
      <c r="A197" s="49" t="s">
        <v>5</v>
      </c>
      <c r="B197" s="40">
        <v>46218</v>
      </c>
      <c r="C197" s="42">
        <v>15.5</v>
      </c>
      <c r="D197" s="44">
        <v>60</v>
      </c>
    </row>
    <row r="198" spans="1:4" ht="14" x14ac:dyDescent="0.15">
      <c r="A198" s="49" t="s">
        <v>6</v>
      </c>
      <c r="B198" s="40">
        <v>46219</v>
      </c>
      <c r="C198" s="42">
        <v>13.5</v>
      </c>
      <c r="D198" s="42">
        <v>59.5</v>
      </c>
    </row>
    <row r="199" spans="1:4" ht="14" x14ac:dyDescent="0.15">
      <c r="A199" s="49" t="s">
        <v>7</v>
      </c>
      <c r="B199" s="40">
        <v>46220</v>
      </c>
      <c r="C199" s="42">
        <v>0</v>
      </c>
      <c r="D199" s="42">
        <v>59.8</v>
      </c>
    </row>
    <row r="200" spans="1:4" ht="14" x14ac:dyDescent="0.15">
      <c r="A200" s="49" t="s">
        <v>8</v>
      </c>
      <c r="B200" s="40">
        <v>46221</v>
      </c>
      <c r="C200" s="42">
        <v>16</v>
      </c>
      <c r="D200" s="42">
        <v>60.6</v>
      </c>
    </row>
    <row r="201" spans="1:4" ht="14" x14ac:dyDescent="0.15">
      <c r="A201" s="50" t="s">
        <v>9</v>
      </c>
      <c r="B201" s="60">
        <v>46222</v>
      </c>
      <c r="C201" s="45">
        <v>18</v>
      </c>
      <c r="D201" s="45">
        <v>60.9</v>
      </c>
    </row>
    <row r="202" spans="1:4" ht="14" x14ac:dyDescent="0.15">
      <c r="A202" s="49" t="s">
        <v>3</v>
      </c>
      <c r="B202" s="40">
        <v>46223</v>
      </c>
      <c r="C202" s="42">
        <v>15.5</v>
      </c>
      <c r="D202" s="42">
        <v>60.4</v>
      </c>
    </row>
    <row r="203" spans="1:4" ht="14" x14ac:dyDescent="0.15">
      <c r="A203" s="49" t="s">
        <v>4</v>
      </c>
      <c r="B203" s="40">
        <v>46224</v>
      </c>
      <c r="C203" s="42">
        <v>15.5</v>
      </c>
      <c r="D203" s="42">
        <v>60</v>
      </c>
    </row>
    <row r="204" spans="1:4" ht="14" x14ac:dyDescent="0.15">
      <c r="A204" s="49" t="s">
        <v>5</v>
      </c>
      <c r="B204" s="40">
        <v>46225</v>
      </c>
      <c r="C204" s="42">
        <v>15.5</v>
      </c>
      <c r="D204" s="42">
        <v>60.7</v>
      </c>
    </row>
    <row r="205" spans="1:4" ht="14" x14ac:dyDescent="0.15">
      <c r="A205" s="49" t="s">
        <v>6</v>
      </c>
      <c r="B205" s="40">
        <v>46226</v>
      </c>
      <c r="C205" s="42">
        <v>16.8</v>
      </c>
      <c r="D205" s="42">
        <v>60.3</v>
      </c>
    </row>
    <row r="206" spans="1:4" ht="14" x14ac:dyDescent="0.15">
      <c r="A206" s="49" t="s">
        <v>7</v>
      </c>
      <c r="B206" s="40">
        <v>46227</v>
      </c>
      <c r="C206" s="42">
        <v>14</v>
      </c>
      <c r="D206" s="42">
        <v>59.8</v>
      </c>
    </row>
    <row r="207" spans="1:4" ht="14" x14ac:dyDescent="0.15">
      <c r="A207" s="49" t="s">
        <v>8</v>
      </c>
      <c r="B207" s="40">
        <v>46228</v>
      </c>
      <c r="C207" s="42">
        <v>15.5</v>
      </c>
      <c r="D207" s="42">
        <v>60.4</v>
      </c>
    </row>
    <row r="208" spans="1:4" ht="14" x14ac:dyDescent="0.15">
      <c r="A208" s="50" t="s">
        <v>9</v>
      </c>
      <c r="B208" s="60">
        <v>46229</v>
      </c>
      <c r="C208" s="45">
        <v>0</v>
      </c>
      <c r="D208" s="45">
        <v>61</v>
      </c>
    </row>
    <row r="209" spans="1:4" ht="14" x14ac:dyDescent="0.15">
      <c r="A209" s="49" t="s">
        <v>3</v>
      </c>
      <c r="B209" s="40">
        <v>46230</v>
      </c>
      <c r="C209" s="42">
        <v>15.8</v>
      </c>
      <c r="D209" s="42">
        <v>61</v>
      </c>
    </row>
    <row r="210" spans="1:4" ht="14" x14ac:dyDescent="0.15">
      <c r="A210" s="49" t="s">
        <v>4</v>
      </c>
      <c r="B210" s="40">
        <v>46231</v>
      </c>
      <c r="C210" s="42">
        <v>15.5</v>
      </c>
      <c r="D210" s="42">
        <v>60.3</v>
      </c>
    </row>
    <row r="211" spans="1:4" ht="14" x14ac:dyDescent="0.15">
      <c r="A211" s="49" t="s">
        <v>5</v>
      </c>
      <c r="B211" s="40">
        <v>46232</v>
      </c>
      <c r="C211" s="42">
        <v>15.5</v>
      </c>
      <c r="D211" s="42">
        <v>60.3</v>
      </c>
    </row>
    <row r="212" spans="1:4" ht="14" x14ac:dyDescent="0.15">
      <c r="A212" s="49" t="s">
        <v>6</v>
      </c>
      <c r="B212" s="40">
        <v>46233</v>
      </c>
      <c r="C212" s="42">
        <v>14.8</v>
      </c>
      <c r="D212" s="42">
        <v>59.9</v>
      </c>
    </row>
    <row r="213" spans="1:4" ht="14" x14ac:dyDescent="0.15">
      <c r="A213" s="49" t="s">
        <v>7</v>
      </c>
      <c r="B213" s="40">
        <v>46234</v>
      </c>
      <c r="C213" s="42">
        <v>14</v>
      </c>
      <c r="D213" s="42">
        <v>59.9</v>
      </c>
    </row>
    <row r="214" spans="1:4" ht="14" x14ac:dyDescent="0.15">
      <c r="A214" s="49" t="s">
        <v>8</v>
      </c>
      <c r="B214" s="40">
        <v>46235</v>
      </c>
      <c r="C214" s="42">
        <v>16</v>
      </c>
      <c r="D214" s="42">
        <v>60.6</v>
      </c>
    </row>
    <row r="215" spans="1:4" ht="14" x14ac:dyDescent="0.15">
      <c r="A215" s="50" t="s">
        <v>9</v>
      </c>
      <c r="B215" s="39">
        <v>46236</v>
      </c>
      <c r="C215" s="42">
        <v>16</v>
      </c>
      <c r="D215" s="42">
        <v>60.8</v>
      </c>
    </row>
    <row r="216" spans="1:4" ht="14" x14ac:dyDescent="0.15">
      <c r="A216" s="49" t="s">
        <v>3</v>
      </c>
      <c r="B216" s="40">
        <v>46237</v>
      </c>
      <c r="C216" s="42">
        <v>15</v>
      </c>
      <c r="D216" s="42">
        <v>60.6</v>
      </c>
    </row>
    <row r="217" spans="1:4" ht="14" x14ac:dyDescent="0.15">
      <c r="A217" s="49" t="s">
        <v>4</v>
      </c>
      <c r="B217" s="40">
        <v>46238</v>
      </c>
      <c r="C217" s="42">
        <v>15</v>
      </c>
      <c r="D217" s="42">
        <v>60.4</v>
      </c>
    </row>
    <row r="218" spans="1:4" ht="14" x14ac:dyDescent="0.15">
      <c r="A218" s="49" t="s">
        <v>5</v>
      </c>
      <c r="B218" s="40">
        <v>46239</v>
      </c>
      <c r="C218" s="42">
        <v>14</v>
      </c>
      <c r="D218" s="42">
        <v>60.4</v>
      </c>
    </row>
    <row r="219" spans="1:4" ht="14" x14ac:dyDescent="0.15">
      <c r="A219" s="49" t="s">
        <v>6</v>
      </c>
      <c r="B219" s="40">
        <v>46240</v>
      </c>
      <c r="C219" s="42">
        <v>14</v>
      </c>
      <c r="D219" s="42">
        <v>60.4</v>
      </c>
    </row>
    <row r="220" spans="1:4" ht="14" x14ac:dyDescent="0.15">
      <c r="A220" s="49" t="s">
        <v>7</v>
      </c>
      <c r="B220" s="40">
        <v>46241</v>
      </c>
      <c r="C220" s="42">
        <v>0</v>
      </c>
      <c r="D220" s="42">
        <v>60.6</v>
      </c>
    </row>
    <row r="221" spans="1:4" ht="14" x14ac:dyDescent="0.15">
      <c r="A221" s="49" t="s">
        <v>8</v>
      </c>
      <c r="B221" s="40">
        <v>46242</v>
      </c>
      <c r="C221" s="42">
        <v>16</v>
      </c>
      <c r="D221" s="42">
        <v>61.4</v>
      </c>
    </row>
    <row r="222" spans="1:4" ht="14" x14ac:dyDescent="0.15">
      <c r="A222" s="50" t="s">
        <v>9</v>
      </c>
      <c r="B222" s="39">
        <v>46243</v>
      </c>
      <c r="C222" s="42">
        <v>15</v>
      </c>
      <c r="D222" s="42">
        <v>60.8</v>
      </c>
    </row>
    <row r="223" spans="1:4" ht="14" x14ac:dyDescent="0.15">
      <c r="A223" s="49" t="s">
        <v>3</v>
      </c>
      <c r="B223" s="40">
        <v>46244</v>
      </c>
      <c r="C223" s="42">
        <v>0</v>
      </c>
      <c r="D223" s="42">
        <v>60.3</v>
      </c>
    </row>
    <row r="224" spans="1:4" ht="14" x14ac:dyDescent="0.15">
      <c r="A224" s="49" t="s">
        <v>4</v>
      </c>
      <c r="B224" s="40">
        <v>46245</v>
      </c>
      <c r="C224" s="42">
        <v>0</v>
      </c>
      <c r="D224" s="42"/>
    </row>
    <row r="225" spans="1:4" ht="14" x14ac:dyDescent="0.15">
      <c r="A225" s="49" t="s">
        <v>5</v>
      </c>
      <c r="B225" s="40">
        <v>46246</v>
      </c>
      <c r="C225" s="42">
        <v>0</v>
      </c>
      <c r="D225" s="42"/>
    </row>
    <row r="226" spans="1:4" ht="14" x14ac:dyDescent="0.15">
      <c r="A226" s="49" t="s">
        <v>6</v>
      </c>
      <c r="B226" s="40">
        <v>46247</v>
      </c>
      <c r="C226" s="42">
        <v>15</v>
      </c>
      <c r="D226" s="42">
        <v>60.6</v>
      </c>
    </row>
    <row r="227" spans="1:4" ht="14" x14ac:dyDescent="0.15">
      <c r="A227" s="49" t="s">
        <v>7</v>
      </c>
      <c r="B227" s="40">
        <v>46248</v>
      </c>
      <c r="C227" s="42">
        <v>0</v>
      </c>
      <c r="D227" s="42">
        <v>61</v>
      </c>
    </row>
    <row r="228" spans="1:4" ht="14" x14ac:dyDescent="0.15">
      <c r="A228" s="49" t="s">
        <v>8</v>
      </c>
      <c r="B228" s="40">
        <v>46249</v>
      </c>
      <c r="C228" s="42">
        <v>0</v>
      </c>
      <c r="D228" s="42"/>
    </row>
    <row r="229" spans="1:4" ht="14" x14ac:dyDescent="0.15">
      <c r="A229" s="50" t="s">
        <v>9</v>
      </c>
      <c r="B229" s="39">
        <v>46250</v>
      </c>
      <c r="C229" s="42">
        <v>12</v>
      </c>
      <c r="D229" s="42"/>
    </row>
    <row r="230" spans="1:4" ht="14" x14ac:dyDescent="0.15">
      <c r="A230" s="49" t="s">
        <v>3</v>
      </c>
      <c r="B230" s="40">
        <v>46251</v>
      </c>
      <c r="C230" s="42">
        <v>13</v>
      </c>
      <c r="D230" s="42">
        <v>60.5</v>
      </c>
    </row>
    <row r="231" spans="1:4" ht="14" x14ac:dyDescent="0.15">
      <c r="A231" s="49" t="s">
        <v>4</v>
      </c>
      <c r="B231" s="40">
        <v>46252</v>
      </c>
      <c r="C231" s="42">
        <v>13</v>
      </c>
      <c r="D231" s="42">
        <v>60.6</v>
      </c>
    </row>
    <row r="232" spans="1:4" ht="14" x14ac:dyDescent="0.15">
      <c r="A232" s="49" t="s">
        <v>5</v>
      </c>
      <c r="B232" s="40">
        <v>46253</v>
      </c>
      <c r="C232" s="42">
        <v>13.5</v>
      </c>
      <c r="D232" s="42">
        <v>60.2</v>
      </c>
    </row>
    <row r="233" spans="1:4" ht="14" x14ac:dyDescent="0.15">
      <c r="A233" s="49" t="s">
        <v>6</v>
      </c>
      <c r="B233" s="40">
        <v>46254</v>
      </c>
      <c r="C233" s="42">
        <v>15</v>
      </c>
      <c r="D233" s="42">
        <v>60.2</v>
      </c>
    </row>
    <row r="234" spans="1:4" ht="14" x14ac:dyDescent="0.15">
      <c r="A234" s="49" t="s">
        <v>7</v>
      </c>
      <c r="B234" s="40">
        <v>46255</v>
      </c>
      <c r="C234" s="42">
        <v>0</v>
      </c>
      <c r="D234" s="42">
        <v>60.4</v>
      </c>
    </row>
    <row r="235" spans="1:4" ht="14" x14ac:dyDescent="0.15">
      <c r="A235" s="49" t="s">
        <v>8</v>
      </c>
      <c r="B235" s="40">
        <v>46256</v>
      </c>
      <c r="C235" s="42">
        <v>0</v>
      </c>
      <c r="D235" s="42">
        <v>60.4</v>
      </c>
    </row>
    <row r="236" spans="1:4" ht="14" x14ac:dyDescent="0.15">
      <c r="A236" s="50" t="s">
        <v>9</v>
      </c>
      <c r="B236" s="39">
        <v>46257</v>
      </c>
      <c r="C236" s="42">
        <v>0</v>
      </c>
      <c r="D236" s="42">
        <v>60.5</v>
      </c>
    </row>
    <row r="237" spans="1:4" ht="14" x14ac:dyDescent="0.15">
      <c r="A237" s="49" t="s">
        <v>3</v>
      </c>
      <c r="B237" s="40">
        <v>46258</v>
      </c>
      <c r="C237" s="42">
        <v>10</v>
      </c>
      <c r="D237" s="42">
        <v>59.7</v>
      </c>
    </row>
    <row r="238" spans="1:4" ht="14" x14ac:dyDescent="0.15">
      <c r="A238" s="49" t="s">
        <v>4</v>
      </c>
      <c r="B238" s="40">
        <v>46259</v>
      </c>
      <c r="C238" s="42">
        <v>11</v>
      </c>
      <c r="D238" s="42">
        <v>59.7</v>
      </c>
    </row>
    <row r="239" spans="1:4" ht="14" x14ac:dyDescent="0.15">
      <c r="A239" s="49" t="s">
        <v>5</v>
      </c>
      <c r="B239" s="40">
        <v>46260</v>
      </c>
      <c r="C239" s="42">
        <v>12</v>
      </c>
      <c r="D239" s="42">
        <v>60</v>
      </c>
    </row>
    <row r="240" spans="1:4" ht="14" x14ac:dyDescent="0.15">
      <c r="A240" s="49" t="s">
        <v>6</v>
      </c>
      <c r="B240" s="40">
        <v>46261</v>
      </c>
      <c r="C240" s="42">
        <v>12</v>
      </c>
      <c r="D240" s="42">
        <v>59.8</v>
      </c>
    </row>
    <row r="241" spans="1:5" ht="14" x14ac:dyDescent="0.15">
      <c r="A241" s="49" t="s">
        <v>7</v>
      </c>
      <c r="B241" s="40">
        <v>46262</v>
      </c>
      <c r="C241" s="42">
        <v>0</v>
      </c>
      <c r="D241" s="42">
        <v>59.8</v>
      </c>
      <c r="E241" s="68">
        <f>SUM(C153:C299)</f>
        <v>1074.0499999999997</v>
      </c>
    </row>
    <row r="242" spans="1:5" ht="14" x14ac:dyDescent="0.15">
      <c r="A242" s="49" t="s">
        <v>8</v>
      </c>
      <c r="B242" s="40">
        <v>46263</v>
      </c>
      <c r="C242" s="42"/>
      <c r="D242" s="42"/>
    </row>
    <row r="243" spans="1:5" ht="14" x14ac:dyDescent="0.15">
      <c r="A243" s="50" t="s">
        <v>9</v>
      </c>
      <c r="B243" s="39">
        <v>46264</v>
      </c>
      <c r="C243" s="45"/>
      <c r="D243" s="45"/>
    </row>
    <row r="244" spans="1:5" ht="14" x14ac:dyDescent="0.15">
      <c r="A244" s="49" t="s">
        <v>3</v>
      </c>
      <c r="B244" s="40">
        <v>46265</v>
      </c>
      <c r="C244" s="46"/>
      <c r="D244" s="46"/>
    </row>
    <row r="245" spans="1:5" ht="14" x14ac:dyDescent="0.15">
      <c r="A245" s="49" t="s">
        <v>4</v>
      </c>
      <c r="B245" s="40">
        <v>46266</v>
      </c>
    </row>
    <row r="246" spans="1:5" ht="14" x14ac:dyDescent="0.15">
      <c r="A246" s="49" t="s">
        <v>5</v>
      </c>
      <c r="B246" s="40">
        <v>46267</v>
      </c>
    </row>
    <row r="247" spans="1:5" ht="14" x14ac:dyDescent="0.15">
      <c r="A247" s="49" t="s">
        <v>6</v>
      </c>
      <c r="B247" s="40">
        <v>46268</v>
      </c>
    </row>
    <row r="248" spans="1:5" ht="14" x14ac:dyDescent="0.15">
      <c r="A248" s="49" t="s">
        <v>7</v>
      </c>
      <c r="B248" s="40">
        <v>46269</v>
      </c>
    </row>
    <row r="249" spans="1:5" ht="14" x14ac:dyDescent="0.15">
      <c r="A249" s="49" t="s">
        <v>8</v>
      </c>
      <c r="B249" s="40">
        <v>46270</v>
      </c>
    </row>
    <row r="250" spans="1:5" ht="14" x14ac:dyDescent="0.15">
      <c r="A250" s="50" t="s">
        <v>9</v>
      </c>
      <c r="B250" s="39">
        <v>46271</v>
      </c>
      <c r="C250" s="48"/>
      <c r="D250" s="48"/>
    </row>
    <row r="251" spans="1:5" ht="14" x14ac:dyDescent="0.15">
      <c r="A251" s="49" t="s">
        <v>3</v>
      </c>
      <c r="B251" s="40">
        <v>46272</v>
      </c>
      <c r="C251" s="47"/>
      <c r="D251" s="47"/>
    </row>
    <row r="252" spans="1:5" ht="14" x14ac:dyDescent="0.15">
      <c r="A252" s="49" t="s">
        <v>4</v>
      </c>
      <c r="B252" s="40">
        <v>46273</v>
      </c>
    </row>
    <row r="253" spans="1:5" ht="14" x14ac:dyDescent="0.15">
      <c r="A253" s="49" t="s">
        <v>5</v>
      </c>
      <c r="B253" s="40">
        <v>46274</v>
      </c>
    </row>
    <row r="254" spans="1:5" ht="14" x14ac:dyDescent="0.15">
      <c r="A254" s="49" t="s">
        <v>6</v>
      </c>
      <c r="B254" s="40">
        <v>46275</v>
      </c>
    </row>
    <row r="255" spans="1:5" ht="14" x14ac:dyDescent="0.15">
      <c r="A255" s="49" t="s">
        <v>7</v>
      </c>
      <c r="B255" s="40">
        <v>46276</v>
      </c>
    </row>
    <row r="256" spans="1:5" ht="14" x14ac:dyDescent="0.15">
      <c r="A256" s="49" t="s">
        <v>8</v>
      </c>
      <c r="B256" s="40">
        <v>46277</v>
      </c>
    </row>
    <row r="257" spans="1:4" ht="14" x14ac:dyDescent="0.15">
      <c r="A257" s="50" t="s">
        <v>9</v>
      </c>
      <c r="B257" s="39">
        <v>46278</v>
      </c>
      <c r="C257" s="48"/>
      <c r="D257" s="48"/>
    </row>
    <row r="258" spans="1:4" ht="14" x14ac:dyDescent="0.15">
      <c r="A258" s="49" t="s">
        <v>3</v>
      </c>
      <c r="B258" s="40">
        <v>46279</v>
      </c>
      <c r="C258" s="47"/>
      <c r="D258" s="47"/>
    </row>
    <row r="259" spans="1:4" ht="14" x14ac:dyDescent="0.15">
      <c r="A259" s="49" t="s">
        <v>4</v>
      </c>
      <c r="B259" s="40">
        <v>46280</v>
      </c>
    </row>
    <row r="260" spans="1:4" ht="14" x14ac:dyDescent="0.15">
      <c r="A260" s="49" t="s">
        <v>5</v>
      </c>
      <c r="B260" s="40">
        <v>46281</v>
      </c>
    </row>
    <row r="261" spans="1:4" ht="14" x14ac:dyDescent="0.15">
      <c r="A261" s="49" t="s">
        <v>6</v>
      </c>
      <c r="B261" s="40">
        <v>46282</v>
      </c>
    </row>
    <row r="262" spans="1:4" ht="14" x14ac:dyDescent="0.15">
      <c r="A262" s="49" t="s">
        <v>7</v>
      </c>
      <c r="B262" s="40">
        <v>46283</v>
      </c>
    </row>
    <row r="263" spans="1:4" ht="14" x14ac:dyDescent="0.15">
      <c r="A263" s="49" t="s">
        <v>8</v>
      </c>
      <c r="B263" s="40">
        <v>46284</v>
      </c>
    </row>
    <row r="264" spans="1:4" ht="14" x14ac:dyDescent="0.15">
      <c r="A264" s="50" t="s">
        <v>9</v>
      </c>
      <c r="B264" s="39">
        <v>46285</v>
      </c>
      <c r="C264" s="48"/>
      <c r="D264" s="48"/>
    </row>
    <row r="265" spans="1:4" ht="14" x14ac:dyDescent="0.15">
      <c r="A265" s="49" t="s">
        <v>3</v>
      </c>
      <c r="B265" s="40">
        <v>46286</v>
      </c>
    </row>
    <row r="266" spans="1:4" ht="14" x14ac:dyDescent="0.15">
      <c r="A266" s="49" t="s">
        <v>4</v>
      </c>
      <c r="B266" s="40">
        <v>46287</v>
      </c>
    </row>
    <row r="267" spans="1:4" ht="14" x14ac:dyDescent="0.15">
      <c r="A267" s="49" t="s">
        <v>5</v>
      </c>
      <c r="B267" s="40">
        <v>46288</v>
      </c>
    </row>
    <row r="268" spans="1:4" ht="14" x14ac:dyDescent="0.15">
      <c r="A268" s="49" t="s">
        <v>6</v>
      </c>
      <c r="B268" s="40">
        <v>46289</v>
      </c>
    </row>
    <row r="269" spans="1:4" ht="14" x14ac:dyDescent="0.15">
      <c r="A269" s="49" t="s">
        <v>7</v>
      </c>
      <c r="B269" s="40">
        <v>46290</v>
      </c>
    </row>
    <row r="270" spans="1:4" ht="14" x14ac:dyDescent="0.15">
      <c r="A270" s="49" t="s">
        <v>8</v>
      </c>
      <c r="B270" s="40">
        <v>46291</v>
      </c>
    </row>
    <row r="271" spans="1:4" ht="14" x14ac:dyDescent="0.15">
      <c r="A271" s="50" t="s">
        <v>9</v>
      </c>
      <c r="B271" s="39">
        <v>46292</v>
      </c>
      <c r="C271" s="48"/>
      <c r="D271" s="48"/>
    </row>
    <row r="272" spans="1:4" ht="14" x14ac:dyDescent="0.15">
      <c r="A272" s="49" t="s">
        <v>3</v>
      </c>
      <c r="B272" s="40">
        <v>46293</v>
      </c>
    </row>
    <row r="273" spans="1:4" ht="14" x14ac:dyDescent="0.15">
      <c r="A273" s="49" t="s">
        <v>4</v>
      </c>
      <c r="B273" s="40">
        <v>46294</v>
      </c>
    </row>
    <row r="274" spans="1:4" ht="14" x14ac:dyDescent="0.15">
      <c r="A274" s="49" t="s">
        <v>5</v>
      </c>
      <c r="B274" s="40">
        <v>46295</v>
      </c>
    </row>
    <row r="275" spans="1:4" ht="14" x14ac:dyDescent="0.15">
      <c r="A275" s="49" t="s">
        <v>6</v>
      </c>
      <c r="B275" s="40">
        <v>46296</v>
      </c>
    </row>
    <row r="276" spans="1:4" ht="14" x14ac:dyDescent="0.15">
      <c r="A276" s="49" t="s">
        <v>7</v>
      </c>
      <c r="B276" s="40">
        <v>46297</v>
      </c>
    </row>
    <row r="277" spans="1:4" ht="14" x14ac:dyDescent="0.15">
      <c r="A277" s="49" t="s">
        <v>8</v>
      </c>
      <c r="B277" s="40">
        <v>46298</v>
      </c>
    </row>
    <row r="278" spans="1:4" ht="14" x14ac:dyDescent="0.15">
      <c r="A278" s="50" t="s">
        <v>9</v>
      </c>
      <c r="B278" s="39">
        <v>46299</v>
      </c>
      <c r="C278" s="48"/>
      <c r="D278" s="48"/>
    </row>
    <row r="279" spans="1:4" ht="14" x14ac:dyDescent="0.15">
      <c r="A279" s="49" t="s">
        <v>3</v>
      </c>
      <c r="B279" s="40">
        <v>46300</v>
      </c>
    </row>
    <row r="280" spans="1:4" ht="14" x14ac:dyDescent="0.15">
      <c r="A280" s="49" t="s">
        <v>4</v>
      </c>
      <c r="B280" s="40">
        <v>46301</v>
      </c>
    </row>
    <row r="281" spans="1:4" ht="14" x14ac:dyDescent="0.15">
      <c r="A281" s="49" t="s">
        <v>5</v>
      </c>
      <c r="B281" s="40">
        <v>46302</v>
      </c>
    </row>
    <row r="282" spans="1:4" ht="14" x14ac:dyDescent="0.15">
      <c r="A282" s="49" t="s">
        <v>6</v>
      </c>
      <c r="B282" s="40">
        <v>46303</v>
      </c>
    </row>
    <row r="283" spans="1:4" ht="14" x14ac:dyDescent="0.15">
      <c r="A283" s="49" t="s">
        <v>7</v>
      </c>
      <c r="B283" s="40">
        <v>46304</v>
      </c>
    </row>
    <row r="284" spans="1:4" ht="14" x14ac:dyDescent="0.15">
      <c r="A284" s="49" t="s">
        <v>8</v>
      </c>
      <c r="B284" s="40">
        <v>46305</v>
      </c>
    </row>
    <row r="285" spans="1:4" ht="14" x14ac:dyDescent="0.15">
      <c r="A285" s="50" t="s">
        <v>9</v>
      </c>
      <c r="B285" s="39">
        <v>46306</v>
      </c>
      <c r="C285" s="48"/>
      <c r="D285" s="48"/>
    </row>
    <row r="286" spans="1:4" ht="14" x14ac:dyDescent="0.15">
      <c r="A286" s="49" t="s">
        <v>3</v>
      </c>
      <c r="B286" s="40">
        <v>46307</v>
      </c>
    </row>
    <row r="287" spans="1:4" ht="14" x14ac:dyDescent="0.15">
      <c r="A287" s="49" t="s">
        <v>4</v>
      </c>
      <c r="B287" s="40">
        <v>46308</v>
      </c>
    </row>
    <row r="288" spans="1:4" ht="14" x14ac:dyDescent="0.15">
      <c r="A288" s="49" t="s">
        <v>5</v>
      </c>
      <c r="B288" s="40">
        <v>46309</v>
      </c>
    </row>
    <row r="289" spans="1:7" ht="14" x14ac:dyDescent="0.15">
      <c r="A289" s="49" t="s">
        <v>6</v>
      </c>
      <c r="B289" s="40">
        <v>46310</v>
      </c>
    </row>
    <row r="290" spans="1:7" ht="14" x14ac:dyDescent="0.15">
      <c r="A290" s="49" t="s">
        <v>7</v>
      </c>
      <c r="B290" s="40">
        <v>46311</v>
      </c>
    </row>
    <row r="291" spans="1:7" ht="14" x14ac:dyDescent="0.15">
      <c r="A291" s="49" t="s">
        <v>8</v>
      </c>
      <c r="B291" s="40">
        <v>46312</v>
      </c>
    </row>
    <row r="292" spans="1:7" ht="14" x14ac:dyDescent="0.15">
      <c r="A292" s="50" t="s">
        <v>9</v>
      </c>
      <c r="B292" s="39">
        <v>46313</v>
      </c>
      <c r="C292" s="48"/>
      <c r="D292" s="48"/>
    </row>
    <row r="293" spans="1:7" ht="14" x14ac:dyDescent="0.15">
      <c r="A293" s="49" t="s">
        <v>3</v>
      </c>
      <c r="B293" s="40">
        <v>46314</v>
      </c>
    </row>
    <row r="294" spans="1:7" ht="14" x14ac:dyDescent="0.15">
      <c r="A294" s="49" t="s">
        <v>4</v>
      </c>
      <c r="B294" s="40">
        <v>46315</v>
      </c>
    </row>
    <row r="295" spans="1:7" ht="14" x14ac:dyDescent="0.15">
      <c r="A295" s="49" t="s">
        <v>5</v>
      </c>
      <c r="B295" s="40">
        <v>46316</v>
      </c>
    </row>
    <row r="296" spans="1:7" ht="14" x14ac:dyDescent="0.15">
      <c r="A296" s="49" t="s">
        <v>6</v>
      </c>
      <c r="B296" s="40">
        <v>46317</v>
      </c>
    </row>
    <row r="297" spans="1:7" ht="14" x14ac:dyDescent="0.15">
      <c r="A297" s="49" t="s">
        <v>7</v>
      </c>
      <c r="B297" s="40">
        <v>46318</v>
      </c>
    </row>
    <row r="298" spans="1:7" ht="14" x14ac:dyDescent="0.15">
      <c r="A298" s="49" t="s">
        <v>8</v>
      </c>
      <c r="B298" s="40">
        <v>46319</v>
      </c>
    </row>
    <row r="299" spans="1:7" ht="14" x14ac:dyDescent="0.15">
      <c r="A299" s="50" t="s">
        <v>9</v>
      </c>
      <c r="B299" s="39">
        <v>46320</v>
      </c>
      <c r="C299" s="48"/>
      <c r="D299" s="48"/>
      <c r="E299" s="68">
        <f>SUM(C2:C299)</f>
        <v>2583.3900000000003</v>
      </c>
      <c r="F299" s="42">
        <f>E299-'2025'!C366</f>
        <v>-2726.9800000000014</v>
      </c>
      <c r="G299" s="42">
        <f>-F299/125</f>
        <v>21.815840000000012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8D64-BAFA-8F4A-8368-6608BBAD33A3}">
  <dimension ref="A1:B488"/>
  <sheetViews>
    <sheetView topLeftCell="A481" workbookViewId="0">
      <selection activeCell="A124" sqref="A124:B488"/>
    </sheetView>
  </sheetViews>
  <sheetFormatPr baseColWidth="10" defaultRowHeight="13" x14ac:dyDescent="0.15"/>
  <cols>
    <col min="1" max="1" width="10.1640625" bestFit="1" customWidth="1"/>
    <col min="2" max="2" width="7.6640625" bestFit="1" customWidth="1"/>
    <col min="3" max="3" width="7.5" customWidth="1"/>
  </cols>
  <sheetData>
    <row r="1" spans="1:2" ht="15" x14ac:dyDescent="0.15">
      <c r="A1" s="1" t="s">
        <v>0</v>
      </c>
      <c r="B1" s="1" t="s">
        <v>1</v>
      </c>
    </row>
    <row r="2" spans="1:2" ht="14" x14ac:dyDescent="0.15">
      <c r="A2" s="7">
        <v>45536</v>
      </c>
      <c r="B2" s="6">
        <v>0</v>
      </c>
    </row>
    <row r="3" spans="1:2" ht="14" x14ac:dyDescent="0.15">
      <c r="A3" s="7">
        <v>45537</v>
      </c>
      <c r="B3" s="2">
        <v>12</v>
      </c>
    </row>
    <row r="4" spans="1:2" ht="14" x14ac:dyDescent="0.15">
      <c r="A4" s="7">
        <v>45538</v>
      </c>
      <c r="B4" s="6">
        <v>0</v>
      </c>
    </row>
    <row r="5" spans="1:2" ht="14" x14ac:dyDescent="0.15">
      <c r="A5" s="7">
        <v>45539</v>
      </c>
      <c r="B5" s="2">
        <v>11</v>
      </c>
    </row>
    <row r="6" spans="1:2" ht="14" x14ac:dyDescent="0.15">
      <c r="A6" s="7">
        <v>45540</v>
      </c>
      <c r="B6" s="2">
        <v>12</v>
      </c>
    </row>
    <row r="7" spans="1:2" ht="14" x14ac:dyDescent="0.15">
      <c r="A7" s="7">
        <v>45541</v>
      </c>
      <c r="B7" s="2">
        <v>8</v>
      </c>
    </row>
    <row r="8" spans="1:2" ht="14" x14ac:dyDescent="0.15">
      <c r="A8" s="7">
        <v>45542</v>
      </c>
      <c r="B8" s="2">
        <v>12</v>
      </c>
    </row>
    <row r="9" spans="1:2" ht="14" x14ac:dyDescent="0.15">
      <c r="A9" s="7">
        <v>45543</v>
      </c>
      <c r="B9" s="2">
        <v>15</v>
      </c>
    </row>
    <row r="10" spans="1:2" ht="14" x14ac:dyDescent="0.15">
      <c r="A10" s="7">
        <v>45544</v>
      </c>
      <c r="B10" s="2">
        <v>12</v>
      </c>
    </row>
    <row r="11" spans="1:2" ht="14" x14ac:dyDescent="0.15">
      <c r="A11" s="7">
        <v>45545</v>
      </c>
      <c r="B11" s="2">
        <v>8</v>
      </c>
    </row>
    <row r="12" spans="1:2" ht="14" x14ac:dyDescent="0.15">
      <c r="A12" s="7">
        <v>45546</v>
      </c>
      <c r="B12" s="2">
        <v>11</v>
      </c>
    </row>
    <row r="13" spans="1:2" ht="14" x14ac:dyDescent="0.15">
      <c r="A13" s="7">
        <v>45547</v>
      </c>
      <c r="B13" s="2">
        <v>11</v>
      </c>
    </row>
    <row r="14" spans="1:2" ht="14" x14ac:dyDescent="0.15">
      <c r="A14" s="7">
        <v>45548</v>
      </c>
      <c r="B14" s="2">
        <v>8</v>
      </c>
    </row>
    <row r="15" spans="1:2" ht="14" x14ac:dyDescent="0.15">
      <c r="A15" s="7">
        <v>45549</v>
      </c>
      <c r="B15" s="2">
        <v>15</v>
      </c>
    </row>
    <row r="16" spans="1:2" ht="14" x14ac:dyDescent="0.15">
      <c r="A16" s="7">
        <v>45550</v>
      </c>
      <c r="B16" s="6">
        <v>0</v>
      </c>
    </row>
    <row r="17" spans="1:2" ht="14" x14ac:dyDescent="0.15">
      <c r="A17" s="7">
        <v>45551</v>
      </c>
      <c r="B17" s="2">
        <v>11</v>
      </c>
    </row>
    <row r="18" spans="1:2" ht="14" x14ac:dyDescent="0.15">
      <c r="A18" s="7">
        <v>45552</v>
      </c>
      <c r="B18" s="2">
        <v>9</v>
      </c>
    </row>
    <row r="19" spans="1:2" ht="14" x14ac:dyDescent="0.15">
      <c r="A19" s="7">
        <v>45553</v>
      </c>
      <c r="B19" s="2">
        <v>11</v>
      </c>
    </row>
    <row r="20" spans="1:2" ht="14" x14ac:dyDescent="0.15">
      <c r="A20" s="7">
        <v>45554</v>
      </c>
      <c r="B20" s="2">
        <v>9</v>
      </c>
    </row>
    <row r="21" spans="1:2" ht="14" x14ac:dyDescent="0.15">
      <c r="A21" s="7">
        <v>45555</v>
      </c>
      <c r="B21" s="2">
        <v>9</v>
      </c>
    </row>
    <row r="22" spans="1:2" ht="14" x14ac:dyDescent="0.15">
      <c r="A22" s="7">
        <v>45556</v>
      </c>
      <c r="B22" s="2">
        <v>11</v>
      </c>
    </row>
    <row r="23" spans="1:2" ht="14" x14ac:dyDescent="0.15">
      <c r="A23" s="7">
        <v>45557</v>
      </c>
      <c r="B23" s="2">
        <v>15</v>
      </c>
    </row>
    <row r="24" spans="1:2" ht="14" x14ac:dyDescent="0.15">
      <c r="A24" s="7">
        <v>45558</v>
      </c>
      <c r="B24" s="2">
        <v>11.5</v>
      </c>
    </row>
    <row r="25" spans="1:2" ht="14" x14ac:dyDescent="0.15">
      <c r="A25" s="7">
        <v>45559</v>
      </c>
      <c r="B25" s="6">
        <v>0</v>
      </c>
    </row>
    <row r="26" spans="1:2" ht="14" x14ac:dyDescent="0.15">
      <c r="A26" s="7">
        <v>45560</v>
      </c>
      <c r="B26" s="6">
        <v>0</v>
      </c>
    </row>
    <row r="27" spans="1:2" ht="14" x14ac:dyDescent="0.15">
      <c r="A27" s="7">
        <v>45561</v>
      </c>
      <c r="B27" s="6">
        <v>0</v>
      </c>
    </row>
    <row r="28" spans="1:2" ht="14" x14ac:dyDescent="0.15">
      <c r="A28" s="7">
        <v>45562</v>
      </c>
      <c r="B28" s="2">
        <v>9</v>
      </c>
    </row>
    <row r="29" spans="1:2" ht="14" x14ac:dyDescent="0.15">
      <c r="A29" s="7">
        <v>45563</v>
      </c>
      <c r="B29" s="2">
        <v>12</v>
      </c>
    </row>
    <row r="30" spans="1:2" ht="14" x14ac:dyDescent="0.15">
      <c r="A30" s="7">
        <v>45564</v>
      </c>
      <c r="B30" s="2">
        <v>14.5</v>
      </c>
    </row>
    <row r="31" spans="1:2" ht="14" x14ac:dyDescent="0.15">
      <c r="A31" s="7">
        <v>45565</v>
      </c>
      <c r="B31" s="2">
        <v>12</v>
      </c>
    </row>
    <row r="32" spans="1:2" ht="14" x14ac:dyDescent="0.15">
      <c r="A32" s="7">
        <v>45566</v>
      </c>
      <c r="B32" s="2">
        <v>10</v>
      </c>
    </row>
    <row r="33" spans="1:2" ht="14" x14ac:dyDescent="0.15">
      <c r="A33" s="7">
        <v>45567</v>
      </c>
      <c r="B33" s="2">
        <v>11</v>
      </c>
    </row>
    <row r="34" spans="1:2" ht="14" x14ac:dyDescent="0.15">
      <c r="A34" s="7">
        <v>45568</v>
      </c>
      <c r="B34" s="2">
        <v>10</v>
      </c>
    </row>
    <row r="35" spans="1:2" ht="14" x14ac:dyDescent="0.15">
      <c r="A35" s="7">
        <v>45569</v>
      </c>
      <c r="B35" s="2">
        <v>9.51</v>
      </c>
    </row>
    <row r="36" spans="1:2" ht="14" x14ac:dyDescent="0.15">
      <c r="A36" s="7">
        <v>45570</v>
      </c>
      <c r="B36" s="2">
        <v>9</v>
      </c>
    </row>
    <row r="37" spans="1:2" ht="14" x14ac:dyDescent="0.15">
      <c r="A37" s="7">
        <v>45571</v>
      </c>
      <c r="B37" s="2">
        <v>15.5</v>
      </c>
    </row>
    <row r="38" spans="1:2" ht="14" x14ac:dyDescent="0.15">
      <c r="A38" s="7">
        <v>45572</v>
      </c>
      <c r="B38" s="2">
        <v>11.5</v>
      </c>
    </row>
    <row r="39" spans="1:2" ht="14" x14ac:dyDescent="0.15">
      <c r="A39" s="7">
        <v>45573</v>
      </c>
      <c r="B39" s="2">
        <v>10</v>
      </c>
    </row>
    <row r="40" spans="1:2" ht="14" x14ac:dyDescent="0.15">
      <c r="A40" s="7">
        <v>45574</v>
      </c>
      <c r="B40" s="2">
        <v>12</v>
      </c>
    </row>
    <row r="41" spans="1:2" ht="14" x14ac:dyDescent="0.15">
      <c r="A41" s="7">
        <v>45575</v>
      </c>
      <c r="B41" s="2">
        <v>10</v>
      </c>
    </row>
    <row r="42" spans="1:2" ht="14" x14ac:dyDescent="0.15">
      <c r="A42" s="7">
        <v>45576</v>
      </c>
      <c r="B42" s="2">
        <v>9.5</v>
      </c>
    </row>
    <row r="43" spans="1:2" ht="14" x14ac:dyDescent="0.15">
      <c r="A43" s="7">
        <v>45577</v>
      </c>
      <c r="B43" s="2">
        <v>0</v>
      </c>
    </row>
    <row r="44" spans="1:2" ht="14" x14ac:dyDescent="0.15">
      <c r="A44" s="7">
        <v>45578</v>
      </c>
      <c r="B44" s="2">
        <f>6+5.68+3</f>
        <v>14.68</v>
      </c>
    </row>
    <row r="45" spans="1:2" ht="14" x14ac:dyDescent="0.15">
      <c r="A45" s="7">
        <v>45579</v>
      </c>
      <c r="B45" s="2">
        <v>11.57</v>
      </c>
    </row>
    <row r="46" spans="1:2" ht="14" x14ac:dyDescent="0.15">
      <c r="A46" s="7">
        <v>45580</v>
      </c>
      <c r="B46" s="2">
        <v>10</v>
      </c>
    </row>
    <row r="47" spans="1:2" ht="14" x14ac:dyDescent="0.15">
      <c r="A47" s="7">
        <v>45581</v>
      </c>
      <c r="B47" s="2">
        <v>12</v>
      </c>
    </row>
    <row r="48" spans="1:2" ht="14" x14ac:dyDescent="0.15">
      <c r="A48" s="7">
        <v>45582</v>
      </c>
      <c r="B48" s="2">
        <v>10</v>
      </c>
    </row>
    <row r="49" spans="1:2" ht="14" x14ac:dyDescent="0.15">
      <c r="A49" s="7">
        <v>45583</v>
      </c>
      <c r="B49" s="2">
        <v>10</v>
      </c>
    </row>
    <row r="50" spans="1:2" ht="14" x14ac:dyDescent="0.15">
      <c r="A50" s="7">
        <v>45584</v>
      </c>
      <c r="B50" s="2">
        <f>3+2+6+3</f>
        <v>14</v>
      </c>
    </row>
    <row r="51" spans="1:2" ht="14" x14ac:dyDescent="0.15">
      <c r="A51" s="7">
        <v>45585</v>
      </c>
      <c r="B51" s="2">
        <v>14</v>
      </c>
    </row>
    <row r="52" spans="1:2" ht="14" x14ac:dyDescent="0.15">
      <c r="A52" s="7">
        <v>45586</v>
      </c>
      <c r="B52" s="2">
        <v>12</v>
      </c>
    </row>
    <row r="53" spans="1:2" ht="14" x14ac:dyDescent="0.15">
      <c r="A53" s="7">
        <v>45587</v>
      </c>
      <c r="B53" s="2">
        <v>10</v>
      </c>
    </row>
    <row r="54" spans="1:2" ht="14" x14ac:dyDescent="0.15">
      <c r="A54" s="7">
        <v>45588</v>
      </c>
      <c r="B54" s="2">
        <v>12</v>
      </c>
    </row>
    <row r="55" spans="1:2" ht="14" x14ac:dyDescent="0.15">
      <c r="A55" s="7">
        <v>45589</v>
      </c>
      <c r="B55" s="2">
        <v>11.8</v>
      </c>
    </row>
    <row r="56" spans="1:2" ht="14" x14ac:dyDescent="0.15">
      <c r="A56" s="7">
        <v>45590</v>
      </c>
      <c r="B56" s="2">
        <v>10</v>
      </c>
    </row>
    <row r="57" spans="1:2" ht="14" x14ac:dyDescent="0.15">
      <c r="A57" s="7">
        <v>45591</v>
      </c>
      <c r="B57" s="2">
        <v>13.5</v>
      </c>
    </row>
    <row r="58" spans="1:2" ht="14" x14ac:dyDescent="0.15">
      <c r="A58" s="7">
        <v>45592</v>
      </c>
      <c r="B58" s="2">
        <v>14.61</v>
      </c>
    </row>
    <row r="59" spans="1:2" ht="14" x14ac:dyDescent="0.15">
      <c r="A59" s="7">
        <v>45593</v>
      </c>
      <c r="B59" s="2">
        <v>12</v>
      </c>
    </row>
    <row r="60" spans="1:2" ht="14" x14ac:dyDescent="0.15">
      <c r="A60" s="7">
        <v>45594</v>
      </c>
      <c r="B60" s="2">
        <v>10.5</v>
      </c>
    </row>
    <row r="61" spans="1:2" ht="14" x14ac:dyDescent="0.15">
      <c r="A61" s="7">
        <v>45595</v>
      </c>
      <c r="B61" s="2">
        <v>12</v>
      </c>
    </row>
    <row r="62" spans="1:2" ht="14" x14ac:dyDescent="0.15">
      <c r="A62" s="7">
        <v>45596</v>
      </c>
      <c r="B62" s="2">
        <v>10</v>
      </c>
    </row>
    <row r="63" spans="1:2" ht="14" x14ac:dyDescent="0.15">
      <c r="A63" s="7">
        <v>45597</v>
      </c>
      <c r="B63" s="2">
        <v>0</v>
      </c>
    </row>
    <row r="64" spans="1:2" ht="14" x14ac:dyDescent="0.15">
      <c r="A64" s="7">
        <v>45598</v>
      </c>
      <c r="B64" s="2">
        <v>13</v>
      </c>
    </row>
    <row r="65" spans="1:2" ht="14" x14ac:dyDescent="0.15">
      <c r="A65" s="7">
        <v>45599</v>
      </c>
      <c r="B65" s="2">
        <v>13</v>
      </c>
    </row>
    <row r="66" spans="1:2" ht="14" x14ac:dyDescent="0.15">
      <c r="A66" s="7">
        <v>45600</v>
      </c>
      <c r="B66" s="2">
        <v>11</v>
      </c>
    </row>
    <row r="67" spans="1:2" ht="14" x14ac:dyDescent="0.15">
      <c r="A67" s="7">
        <v>45601</v>
      </c>
      <c r="B67" s="2">
        <v>9</v>
      </c>
    </row>
    <row r="68" spans="1:2" ht="14" x14ac:dyDescent="0.15">
      <c r="A68" s="7">
        <v>45602</v>
      </c>
      <c r="B68" s="2">
        <v>12</v>
      </c>
    </row>
    <row r="69" spans="1:2" ht="14" x14ac:dyDescent="0.15">
      <c r="A69" s="7">
        <v>45603</v>
      </c>
      <c r="B69" s="2">
        <v>9</v>
      </c>
    </row>
    <row r="70" spans="1:2" ht="14" x14ac:dyDescent="0.15">
      <c r="A70" s="7">
        <v>45604</v>
      </c>
      <c r="B70" s="2">
        <v>10</v>
      </c>
    </row>
    <row r="71" spans="1:2" ht="14" x14ac:dyDescent="0.15">
      <c r="A71" s="7">
        <v>45605</v>
      </c>
      <c r="B71" s="2">
        <f>3.5+9+1.5</f>
        <v>14</v>
      </c>
    </row>
    <row r="72" spans="1:2" ht="14" x14ac:dyDescent="0.15">
      <c r="A72" s="7">
        <v>45606</v>
      </c>
      <c r="B72" s="2">
        <v>0</v>
      </c>
    </row>
    <row r="73" spans="1:2" ht="14" x14ac:dyDescent="0.15">
      <c r="A73" s="7">
        <v>45607</v>
      </c>
      <c r="B73" s="2">
        <v>12</v>
      </c>
    </row>
    <row r="74" spans="1:2" ht="14" x14ac:dyDescent="0.15">
      <c r="A74" s="7">
        <v>45608</v>
      </c>
      <c r="B74" s="2">
        <v>10</v>
      </c>
    </row>
    <row r="75" spans="1:2" ht="14" x14ac:dyDescent="0.15">
      <c r="A75" s="7">
        <v>45609</v>
      </c>
      <c r="B75" s="2">
        <v>12</v>
      </c>
    </row>
    <row r="76" spans="1:2" ht="14" x14ac:dyDescent="0.15">
      <c r="A76" s="7">
        <v>45610</v>
      </c>
      <c r="B76" s="2">
        <v>10</v>
      </c>
    </row>
    <row r="77" spans="1:2" ht="14" x14ac:dyDescent="0.15">
      <c r="A77" s="7">
        <v>45611</v>
      </c>
      <c r="B77" s="2">
        <v>12</v>
      </c>
    </row>
    <row r="78" spans="1:2" ht="14" x14ac:dyDescent="0.15">
      <c r="A78" s="7">
        <v>45612</v>
      </c>
      <c r="B78" s="2">
        <v>0</v>
      </c>
    </row>
    <row r="79" spans="1:2" ht="14" x14ac:dyDescent="0.15">
      <c r="A79" s="7">
        <v>45613</v>
      </c>
      <c r="B79" s="2">
        <v>15</v>
      </c>
    </row>
    <row r="80" spans="1:2" ht="14" x14ac:dyDescent="0.15">
      <c r="A80" s="7">
        <v>45614</v>
      </c>
      <c r="B80" s="2">
        <v>12</v>
      </c>
    </row>
    <row r="81" spans="1:2" ht="14" x14ac:dyDescent="0.15">
      <c r="A81" s="7">
        <v>45615</v>
      </c>
      <c r="B81" s="2">
        <v>10</v>
      </c>
    </row>
    <row r="82" spans="1:2" ht="14" x14ac:dyDescent="0.15">
      <c r="A82" s="7">
        <v>45616</v>
      </c>
      <c r="B82" s="2">
        <v>12</v>
      </c>
    </row>
    <row r="83" spans="1:2" ht="14" x14ac:dyDescent="0.15">
      <c r="A83" s="7">
        <v>45617</v>
      </c>
      <c r="B83" s="2">
        <v>10</v>
      </c>
    </row>
    <row r="84" spans="1:2" ht="14" x14ac:dyDescent="0.15">
      <c r="A84" s="7">
        <v>45618</v>
      </c>
      <c r="B84" s="2">
        <v>0</v>
      </c>
    </row>
    <row r="85" spans="1:2" ht="14" x14ac:dyDescent="0.15">
      <c r="A85" s="7">
        <v>45619</v>
      </c>
      <c r="B85" s="2">
        <f>3.53+7+2</f>
        <v>12.53</v>
      </c>
    </row>
    <row r="86" spans="1:2" ht="14" x14ac:dyDescent="0.15">
      <c r="A86" s="7">
        <v>45620</v>
      </c>
      <c r="B86" s="2">
        <v>14</v>
      </c>
    </row>
    <row r="87" spans="1:2" ht="14" x14ac:dyDescent="0.15">
      <c r="A87" s="7">
        <v>45621</v>
      </c>
      <c r="B87" s="2">
        <v>12</v>
      </c>
    </row>
    <row r="88" spans="1:2" ht="14" x14ac:dyDescent="0.15">
      <c r="A88" s="7">
        <v>45622</v>
      </c>
      <c r="B88" s="2">
        <v>10</v>
      </c>
    </row>
    <row r="89" spans="1:2" ht="14" x14ac:dyDescent="0.15">
      <c r="A89" s="7">
        <v>45623</v>
      </c>
      <c r="B89" s="2">
        <v>12.5</v>
      </c>
    </row>
    <row r="90" spans="1:2" ht="14" x14ac:dyDescent="0.15">
      <c r="A90" s="7">
        <v>45624</v>
      </c>
      <c r="B90" s="2">
        <v>10</v>
      </c>
    </row>
    <row r="91" spans="1:2" ht="14" x14ac:dyDescent="0.15">
      <c r="A91" s="7">
        <v>45625</v>
      </c>
      <c r="B91" s="2">
        <v>8.68</v>
      </c>
    </row>
    <row r="92" spans="1:2" ht="14" x14ac:dyDescent="0.15">
      <c r="A92" s="7">
        <v>45626</v>
      </c>
      <c r="B92" s="2">
        <f>5+2+2+2+1.5</f>
        <v>12.5</v>
      </c>
    </row>
    <row r="93" spans="1:2" ht="14" x14ac:dyDescent="0.15">
      <c r="A93" s="7">
        <v>45627</v>
      </c>
      <c r="B93" s="2">
        <v>14</v>
      </c>
    </row>
    <row r="94" spans="1:2" ht="14" x14ac:dyDescent="0.15">
      <c r="A94" s="7">
        <v>45628</v>
      </c>
      <c r="B94" s="2">
        <v>12</v>
      </c>
    </row>
    <row r="95" spans="1:2" ht="14" x14ac:dyDescent="0.15">
      <c r="A95" s="7">
        <v>45629</v>
      </c>
      <c r="B95" s="2">
        <v>10</v>
      </c>
    </row>
    <row r="96" spans="1:2" ht="14" x14ac:dyDescent="0.15">
      <c r="A96" s="7">
        <v>45630</v>
      </c>
      <c r="B96" s="2">
        <v>12.72</v>
      </c>
    </row>
    <row r="97" spans="1:2" ht="14" x14ac:dyDescent="0.15">
      <c r="A97" s="7">
        <v>45631</v>
      </c>
      <c r="B97" s="2">
        <v>10.5</v>
      </c>
    </row>
    <row r="98" spans="1:2" ht="14" x14ac:dyDescent="0.15">
      <c r="A98" s="7">
        <v>45632</v>
      </c>
      <c r="B98" s="2">
        <v>12.5</v>
      </c>
    </row>
    <row r="99" spans="1:2" ht="14" x14ac:dyDescent="0.15">
      <c r="A99" s="7">
        <v>45633</v>
      </c>
      <c r="B99" s="2">
        <f>3.12+4+4+2.57</f>
        <v>13.690000000000001</v>
      </c>
    </row>
    <row r="100" spans="1:2" ht="14" x14ac:dyDescent="0.15">
      <c r="A100" s="7">
        <v>45634</v>
      </c>
      <c r="B100" s="2">
        <v>0</v>
      </c>
    </row>
    <row r="101" spans="1:2" ht="14" x14ac:dyDescent="0.15">
      <c r="A101" s="7">
        <v>45635</v>
      </c>
      <c r="B101" s="2">
        <v>13</v>
      </c>
    </row>
    <row r="102" spans="1:2" ht="14" x14ac:dyDescent="0.15">
      <c r="A102" s="7">
        <v>45636</v>
      </c>
      <c r="B102" s="2">
        <v>10.4</v>
      </c>
    </row>
    <row r="103" spans="1:2" ht="14" x14ac:dyDescent="0.15">
      <c r="A103" s="7">
        <v>45637</v>
      </c>
      <c r="B103" s="2">
        <v>11.5</v>
      </c>
    </row>
    <row r="104" spans="1:2" ht="14" x14ac:dyDescent="0.15">
      <c r="A104" s="7">
        <v>45638</v>
      </c>
      <c r="B104" s="2">
        <v>10.55</v>
      </c>
    </row>
    <row r="105" spans="1:2" ht="14" x14ac:dyDescent="0.15">
      <c r="A105" s="7">
        <v>45639</v>
      </c>
      <c r="B105" s="2">
        <v>10.46</v>
      </c>
    </row>
    <row r="106" spans="1:2" ht="14" x14ac:dyDescent="0.15">
      <c r="A106" s="7">
        <v>45640</v>
      </c>
      <c r="B106" s="2">
        <f>3.29+4+4+3+2.75</f>
        <v>17.04</v>
      </c>
    </row>
    <row r="107" spans="1:2" ht="14" x14ac:dyDescent="0.15">
      <c r="A107" s="7">
        <v>45641</v>
      </c>
      <c r="B107" s="2">
        <v>14.5</v>
      </c>
    </row>
    <row r="108" spans="1:2" ht="14" x14ac:dyDescent="0.15">
      <c r="A108" s="7">
        <v>45642</v>
      </c>
      <c r="B108" s="2">
        <v>11</v>
      </c>
    </row>
    <row r="109" spans="1:2" ht="14" x14ac:dyDescent="0.15">
      <c r="A109" s="7">
        <v>45643</v>
      </c>
      <c r="B109" s="2">
        <v>11</v>
      </c>
    </row>
    <row r="110" spans="1:2" ht="14" x14ac:dyDescent="0.15">
      <c r="A110" s="7">
        <v>45644</v>
      </c>
      <c r="B110" s="2">
        <v>10.66</v>
      </c>
    </row>
    <row r="111" spans="1:2" ht="14" x14ac:dyDescent="0.15">
      <c r="A111" s="7">
        <v>45645</v>
      </c>
      <c r="B111" s="2">
        <v>11.5</v>
      </c>
    </row>
    <row r="112" spans="1:2" ht="14" x14ac:dyDescent="0.15">
      <c r="A112" s="7">
        <v>45646</v>
      </c>
      <c r="B112" s="2">
        <v>11</v>
      </c>
    </row>
    <row r="113" spans="1:2" ht="14" x14ac:dyDescent="0.15">
      <c r="A113" s="7">
        <v>45647</v>
      </c>
      <c r="B113" s="2">
        <f>3+8+2.5</f>
        <v>13.5</v>
      </c>
    </row>
    <row r="114" spans="1:2" ht="14" x14ac:dyDescent="0.15">
      <c r="A114" s="7">
        <v>45648</v>
      </c>
      <c r="B114" s="2">
        <v>14</v>
      </c>
    </row>
    <row r="115" spans="1:2" ht="14" x14ac:dyDescent="0.15">
      <c r="A115" s="7">
        <v>45649</v>
      </c>
      <c r="B115" s="2">
        <v>11</v>
      </c>
    </row>
    <row r="116" spans="1:2" ht="14" x14ac:dyDescent="0.15">
      <c r="A116" s="7">
        <v>45650</v>
      </c>
      <c r="B116" s="2">
        <f>11.27+1.5</f>
        <v>12.77</v>
      </c>
    </row>
    <row r="117" spans="1:2" ht="14" x14ac:dyDescent="0.15">
      <c r="A117" s="7">
        <v>45651</v>
      </c>
      <c r="B117" s="2">
        <v>15</v>
      </c>
    </row>
    <row r="118" spans="1:2" ht="14" x14ac:dyDescent="0.15">
      <c r="A118" s="7">
        <v>45652</v>
      </c>
      <c r="B118" s="2">
        <v>12</v>
      </c>
    </row>
    <row r="119" spans="1:2" ht="14" x14ac:dyDescent="0.15">
      <c r="A119" s="7">
        <v>45653</v>
      </c>
      <c r="B119" s="2">
        <v>11</v>
      </c>
    </row>
    <row r="120" spans="1:2" ht="14" x14ac:dyDescent="0.15">
      <c r="A120" s="7">
        <v>45654</v>
      </c>
      <c r="B120" s="2">
        <f>3+7+3</f>
        <v>13</v>
      </c>
    </row>
    <row r="121" spans="1:2" ht="14" x14ac:dyDescent="0.15">
      <c r="A121" s="7">
        <v>45655</v>
      </c>
      <c r="B121" s="2">
        <v>15</v>
      </c>
    </row>
    <row r="122" spans="1:2" ht="14" x14ac:dyDescent="0.15">
      <c r="A122" s="7">
        <v>45656</v>
      </c>
      <c r="B122" s="2">
        <v>11</v>
      </c>
    </row>
    <row r="123" spans="1:2" ht="14" x14ac:dyDescent="0.15">
      <c r="A123" s="8">
        <v>45657</v>
      </c>
      <c r="B123" s="3">
        <v>8</v>
      </c>
    </row>
    <row r="124" spans="1:2" ht="14" x14ac:dyDescent="0.15">
      <c r="A124" s="8">
        <v>45658</v>
      </c>
      <c r="B124" s="3">
        <v>15.5</v>
      </c>
    </row>
    <row r="125" spans="1:2" ht="14" x14ac:dyDescent="0.15">
      <c r="A125" s="8">
        <v>45659</v>
      </c>
      <c r="B125" s="3">
        <v>12</v>
      </c>
    </row>
    <row r="126" spans="1:2" ht="14" x14ac:dyDescent="0.15">
      <c r="A126" s="8">
        <v>45660</v>
      </c>
      <c r="B126" s="3">
        <v>10</v>
      </c>
    </row>
    <row r="127" spans="1:2" ht="14" x14ac:dyDescent="0.15">
      <c r="A127" s="8">
        <v>45661</v>
      </c>
      <c r="B127" s="3">
        <v>13.6</v>
      </c>
    </row>
    <row r="128" spans="1:2" ht="14" x14ac:dyDescent="0.15">
      <c r="A128" s="8">
        <v>45662</v>
      </c>
      <c r="B128" s="3">
        <v>15</v>
      </c>
    </row>
    <row r="129" spans="1:2" ht="14" x14ac:dyDescent="0.15">
      <c r="A129" s="8">
        <v>45663</v>
      </c>
      <c r="B129" s="3">
        <v>12</v>
      </c>
    </row>
    <row r="130" spans="1:2" ht="14" x14ac:dyDescent="0.15">
      <c r="A130" s="8">
        <v>45664</v>
      </c>
      <c r="B130" s="3">
        <v>11</v>
      </c>
    </row>
    <row r="131" spans="1:2" ht="14" x14ac:dyDescent="0.15">
      <c r="A131" s="8">
        <v>45665</v>
      </c>
      <c r="B131" s="3">
        <v>12</v>
      </c>
    </row>
    <row r="132" spans="1:2" ht="14" x14ac:dyDescent="0.15">
      <c r="A132" s="8">
        <v>45666</v>
      </c>
      <c r="B132" s="3">
        <v>12</v>
      </c>
    </row>
    <row r="133" spans="1:2" ht="14" x14ac:dyDescent="0.15">
      <c r="A133" s="8">
        <v>45667</v>
      </c>
      <c r="B133" s="3">
        <v>11</v>
      </c>
    </row>
    <row r="134" spans="1:2" ht="14" x14ac:dyDescent="0.15">
      <c r="A134" s="8">
        <v>45668</v>
      </c>
      <c r="B134" s="3">
        <v>14</v>
      </c>
    </row>
    <row r="135" spans="1:2" ht="14" x14ac:dyDescent="0.15">
      <c r="A135" s="8">
        <v>45669</v>
      </c>
      <c r="B135" s="3">
        <v>14</v>
      </c>
    </row>
    <row r="136" spans="1:2" ht="14" x14ac:dyDescent="0.15">
      <c r="A136" s="8">
        <v>45670</v>
      </c>
      <c r="B136" s="3">
        <v>9.5</v>
      </c>
    </row>
    <row r="137" spans="1:2" ht="14" x14ac:dyDescent="0.15">
      <c r="A137" s="8">
        <v>45671</v>
      </c>
      <c r="B137" s="3">
        <v>11.5</v>
      </c>
    </row>
    <row r="138" spans="1:2" ht="14" x14ac:dyDescent="0.15">
      <c r="A138" s="8">
        <v>45672</v>
      </c>
      <c r="B138" s="3">
        <v>11.5</v>
      </c>
    </row>
    <row r="139" spans="1:2" ht="14" x14ac:dyDescent="0.15">
      <c r="A139" s="8">
        <v>45673</v>
      </c>
      <c r="B139" s="3">
        <v>12</v>
      </c>
    </row>
    <row r="140" spans="1:2" ht="14" x14ac:dyDescent="0.15">
      <c r="A140" s="8">
        <v>45674</v>
      </c>
      <c r="B140" s="3">
        <v>11</v>
      </c>
    </row>
    <row r="141" spans="1:2" ht="14" x14ac:dyDescent="0.15">
      <c r="A141" s="8">
        <v>45675</v>
      </c>
      <c r="B141" s="3">
        <v>13</v>
      </c>
    </row>
    <row r="142" spans="1:2" ht="14" x14ac:dyDescent="0.15">
      <c r="A142" s="8">
        <v>45676</v>
      </c>
      <c r="B142" s="4">
        <v>0</v>
      </c>
    </row>
    <row r="143" spans="1:2" ht="14" x14ac:dyDescent="0.15">
      <c r="A143" s="8">
        <v>45677</v>
      </c>
      <c r="B143" s="3">
        <v>11.5</v>
      </c>
    </row>
    <row r="144" spans="1:2" ht="14" x14ac:dyDescent="0.15">
      <c r="A144" s="8">
        <v>45678</v>
      </c>
      <c r="B144" s="3">
        <v>11</v>
      </c>
    </row>
    <row r="145" spans="1:2" ht="14" x14ac:dyDescent="0.15">
      <c r="A145" s="8">
        <v>45679</v>
      </c>
      <c r="B145" s="3">
        <v>11</v>
      </c>
    </row>
    <row r="146" spans="1:2" ht="14" x14ac:dyDescent="0.15">
      <c r="A146" s="8">
        <v>45680</v>
      </c>
      <c r="B146" s="3">
        <v>12</v>
      </c>
    </row>
    <row r="147" spans="1:2" ht="14" x14ac:dyDescent="0.15">
      <c r="A147" s="8">
        <v>45681</v>
      </c>
      <c r="B147" s="3">
        <v>10.5</v>
      </c>
    </row>
    <row r="148" spans="1:2" ht="14" x14ac:dyDescent="0.15">
      <c r="A148" s="8">
        <v>45682</v>
      </c>
      <c r="B148" s="3">
        <v>13.35</v>
      </c>
    </row>
    <row r="149" spans="1:2" ht="14" x14ac:dyDescent="0.15">
      <c r="A149" s="8">
        <v>45683</v>
      </c>
      <c r="B149" s="3">
        <v>14</v>
      </c>
    </row>
    <row r="150" spans="1:2" ht="14" x14ac:dyDescent="0.15">
      <c r="A150" s="8">
        <v>45684</v>
      </c>
      <c r="B150" s="4">
        <v>0</v>
      </c>
    </row>
    <row r="151" spans="1:2" ht="14" x14ac:dyDescent="0.15">
      <c r="A151" s="8">
        <v>45685</v>
      </c>
      <c r="B151" s="3">
        <v>13</v>
      </c>
    </row>
    <row r="152" spans="1:2" ht="14" x14ac:dyDescent="0.15">
      <c r="A152" s="8">
        <v>45686</v>
      </c>
      <c r="B152" s="3">
        <v>11</v>
      </c>
    </row>
    <row r="153" spans="1:2" ht="14" x14ac:dyDescent="0.15">
      <c r="A153" s="8">
        <v>45687</v>
      </c>
      <c r="B153" s="3">
        <v>11</v>
      </c>
    </row>
    <row r="154" spans="1:2" ht="14" x14ac:dyDescent="0.15">
      <c r="A154" s="8">
        <v>45688</v>
      </c>
      <c r="B154" s="3">
        <v>11</v>
      </c>
    </row>
    <row r="155" spans="1:2" ht="14" x14ac:dyDescent="0.15">
      <c r="A155" s="8">
        <v>45689</v>
      </c>
      <c r="B155" s="3">
        <v>13.9</v>
      </c>
    </row>
    <row r="156" spans="1:2" ht="14" x14ac:dyDescent="0.15">
      <c r="A156" s="8">
        <v>45690</v>
      </c>
      <c r="B156" s="3">
        <v>16</v>
      </c>
    </row>
    <row r="157" spans="1:2" ht="14" x14ac:dyDescent="0.15">
      <c r="A157" s="8">
        <v>45691</v>
      </c>
      <c r="B157" s="3">
        <v>11</v>
      </c>
    </row>
    <row r="158" spans="1:2" ht="14" x14ac:dyDescent="0.15">
      <c r="A158" s="8">
        <v>45692</v>
      </c>
      <c r="B158" s="3">
        <v>12</v>
      </c>
    </row>
    <row r="159" spans="1:2" ht="14" x14ac:dyDescent="0.15">
      <c r="A159" s="8">
        <v>45693</v>
      </c>
      <c r="B159" s="3">
        <v>11</v>
      </c>
    </row>
    <row r="160" spans="1:2" ht="14" x14ac:dyDescent="0.15">
      <c r="A160" s="8">
        <v>45694</v>
      </c>
      <c r="B160" s="3">
        <v>11</v>
      </c>
    </row>
    <row r="161" spans="1:2" ht="14" x14ac:dyDescent="0.15">
      <c r="A161" s="8">
        <v>45695</v>
      </c>
      <c r="B161" s="3">
        <v>10</v>
      </c>
    </row>
    <row r="162" spans="1:2" ht="14" x14ac:dyDescent="0.15">
      <c r="A162" s="8">
        <v>45696</v>
      </c>
      <c r="B162" s="3">
        <v>14.1</v>
      </c>
    </row>
    <row r="163" spans="1:2" ht="14" x14ac:dyDescent="0.15">
      <c r="A163" s="8">
        <v>45697</v>
      </c>
      <c r="B163" s="3">
        <v>15</v>
      </c>
    </row>
    <row r="164" spans="1:2" ht="14" x14ac:dyDescent="0.15">
      <c r="A164" s="8">
        <v>45698</v>
      </c>
      <c r="B164" s="3">
        <v>11</v>
      </c>
    </row>
    <row r="165" spans="1:2" ht="14" x14ac:dyDescent="0.15">
      <c r="A165" s="8">
        <v>45699</v>
      </c>
      <c r="B165" s="3">
        <v>11.6</v>
      </c>
    </row>
    <row r="166" spans="1:2" ht="14" x14ac:dyDescent="0.15">
      <c r="A166" s="8">
        <v>45700</v>
      </c>
      <c r="B166" s="3">
        <v>11.3</v>
      </c>
    </row>
    <row r="167" spans="1:2" ht="14" x14ac:dyDescent="0.15">
      <c r="A167" s="8">
        <v>45701</v>
      </c>
      <c r="B167" s="3">
        <v>11.6</v>
      </c>
    </row>
    <row r="168" spans="1:2" ht="14" x14ac:dyDescent="0.15">
      <c r="A168" s="8">
        <v>45702</v>
      </c>
      <c r="B168" s="3">
        <v>11.3</v>
      </c>
    </row>
    <row r="169" spans="1:2" ht="14" x14ac:dyDescent="0.15">
      <c r="A169" s="8">
        <v>45703</v>
      </c>
      <c r="B169" s="3">
        <v>14.2</v>
      </c>
    </row>
    <row r="170" spans="1:2" ht="14" x14ac:dyDescent="0.15">
      <c r="A170" s="8">
        <v>45704</v>
      </c>
      <c r="B170" s="3">
        <v>14</v>
      </c>
    </row>
    <row r="171" spans="1:2" ht="14" x14ac:dyDescent="0.15">
      <c r="A171" s="8">
        <v>45705</v>
      </c>
      <c r="B171" s="3">
        <v>11.5</v>
      </c>
    </row>
    <row r="172" spans="1:2" ht="14" x14ac:dyDescent="0.15">
      <c r="A172" s="8">
        <v>45706</v>
      </c>
      <c r="B172" s="4">
        <v>0</v>
      </c>
    </row>
    <row r="173" spans="1:2" ht="14" x14ac:dyDescent="0.15">
      <c r="A173" s="8">
        <v>45707</v>
      </c>
      <c r="B173" s="3">
        <v>11.5</v>
      </c>
    </row>
    <row r="174" spans="1:2" ht="14" x14ac:dyDescent="0.15">
      <c r="A174" s="8">
        <v>45708</v>
      </c>
      <c r="B174" s="3">
        <v>11.5</v>
      </c>
    </row>
    <row r="175" spans="1:2" ht="14" x14ac:dyDescent="0.15">
      <c r="A175" s="8">
        <v>45709</v>
      </c>
      <c r="B175" s="3">
        <v>11</v>
      </c>
    </row>
    <row r="176" spans="1:2" ht="14" x14ac:dyDescent="0.15">
      <c r="A176" s="8">
        <v>45710</v>
      </c>
      <c r="B176" s="3">
        <v>15.2</v>
      </c>
    </row>
    <row r="177" spans="1:2" ht="14" x14ac:dyDescent="0.15">
      <c r="A177" s="8">
        <v>45711</v>
      </c>
      <c r="B177" s="4">
        <v>0</v>
      </c>
    </row>
    <row r="178" spans="1:2" ht="14" x14ac:dyDescent="0.15">
      <c r="A178" s="8">
        <v>45712</v>
      </c>
      <c r="B178" s="3">
        <v>12.5</v>
      </c>
    </row>
    <row r="179" spans="1:2" ht="14" x14ac:dyDescent="0.15">
      <c r="A179" s="8">
        <v>45713</v>
      </c>
      <c r="B179" s="3">
        <v>11.5</v>
      </c>
    </row>
    <row r="180" spans="1:2" ht="14" x14ac:dyDescent="0.15">
      <c r="A180" s="8">
        <v>45714</v>
      </c>
      <c r="B180" s="3">
        <v>11</v>
      </c>
    </row>
    <row r="181" spans="1:2" ht="14" x14ac:dyDescent="0.15">
      <c r="A181" s="8">
        <v>45715</v>
      </c>
      <c r="B181" s="3">
        <v>11.5</v>
      </c>
    </row>
    <row r="182" spans="1:2" ht="14" x14ac:dyDescent="0.15">
      <c r="A182" s="8">
        <v>45716</v>
      </c>
      <c r="B182" s="3">
        <v>20</v>
      </c>
    </row>
    <row r="183" spans="1:2" ht="14" x14ac:dyDescent="0.15">
      <c r="A183" s="8">
        <v>45717</v>
      </c>
      <c r="B183" s="3">
        <v>13.8</v>
      </c>
    </row>
    <row r="184" spans="1:2" ht="14" x14ac:dyDescent="0.15">
      <c r="A184" s="8">
        <v>45718</v>
      </c>
      <c r="B184" s="3">
        <v>15</v>
      </c>
    </row>
    <row r="185" spans="1:2" ht="14" x14ac:dyDescent="0.15">
      <c r="A185" s="8">
        <v>45719</v>
      </c>
      <c r="B185" s="3">
        <v>11.25</v>
      </c>
    </row>
    <row r="186" spans="1:2" ht="14" x14ac:dyDescent="0.15">
      <c r="A186" s="8">
        <v>45720</v>
      </c>
      <c r="B186" s="3">
        <v>12</v>
      </c>
    </row>
    <row r="187" spans="1:2" ht="14" x14ac:dyDescent="0.15">
      <c r="A187" s="8">
        <v>45721</v>
      </c>
      <c r="B187" s="3">
        <v>11.5</v>
      </c>
    </row>
    <row r="188" spans="1:2" ht="14" x14ac:dyDescent="0.15">
      <c r="A188" s="8">
        <v>45722</v>
      </c>
      <c r="B188" s="3">
        <v>11.5</v>
      </c>
    </row>
    <row r="189" spans="1:2" ht="14" x14ac:dyDescent="0.15">
      <c r="A189" s="8">
        <v>45723</v>
      </c>
      <c r="B189" s="3">
        <v>11</v>
      </c>
    </row>
    <row r="190" spans="1:2" ht="14" x14ac:dyDescent="0.15">
      <c r="A190" s="8">
        <v>45724</v>
      </c>
      <c r="B190" s="3">
        <v>16</v>
      </c>
    </row>
    <row r="191" spans="1:2" ht="14" x14ac:dyDescent="0.15">
      <c r="A191" s="8">
        <v>45725</v>
      </c>
      <c r="B191" s="3">
        <v>16</v>
      </c>
    </row>
    <row r="192" spans="1:2" ht="14" x14ac:dyDescent="0.15">
      <c r="A192" s="8">
        <v>45726</v>
      </c>
      <c r="B192" s="3">
        <v>11.25</v>
      </c>
    </row>
    <row r="193" spans="1:2" ht="14" x14ac:dyDescent="0.15">
      <c r="A193" s="8">
        <v>45727</v>
      </c>
      <c r="B193" s="4">
        <v>0</v>
      </c>
    </row>
    <row r="194" spans="1:2" ht="14" x14ac:dyDescent="0.15">
      <c r="A194" s="8">
        <v>45728</v>
      </c>
      <c r="B194" s="3">
        <v>12</v>
      </c>
    </row>
    <row r="195" spans="1:2" ht="14" x14ac:dyDescent="0.15">
      <c r="A195" s="8">
        <v>45729</v>
      </c>
      <c r="B195" s="3">
        <v>10</v>
      </c>
    </row>
    <row r="196" spans="1:2" ht="14" x14ac:dyDescent="0.15">
      <c r="A196" s="8">
        <v>45730</v>
      </c>
      <c r="B196" s="3">
        <v>12</v>
      </c>
    </row>
    <row r="197" spans="1:2" ht="14" x14ac:dyDescent="0.15">
      <c r="A197" s="8">
        <v>45731</v>
      </c>
      <c r="B197" s="3">
        <v>15.4</v>
      </c>
    </row>
    <row r="198" spans="1:2" ht="14" x14ac:dyDescent="0.15">
      <c r="A198" s="8">
        <v>45732</v>
      </c>
      <c r="B198" s="3">
        <v>16.5</v>
      </c>
    </row>
    <row r="199" spans="1:2" ht="14" x14ac:dyDescent="0.15">
      <c r="A199" s="8">
        <v>45733</v>
      </c>
      <c r="B199" s="3">
        <v>6.3</v>
      </c>
    </row>
    <row r="200" spans="1:2" ht="14" x14ac:dyDescent="0.15">
      <c r="A200" s="8">
        <v>45734</v>
      </c>
      <c r="B200" s="3">
        <v>14</v>
      </c>
    </row>
    <row r="201" spans="1:2" ht="14" x14ac:dyDescent="0.15">
      <c r="A201" s="8">
        <v>45735</v>
      </c>
      <c r="B201" s="3">
        <v>12</v>
      </c>
    </row>
    <row r="202" spans="1:2" ht="14" x14ac:dyDescent="0.15">
      <c r="A202" s="8">
        <v>45736</v>
      </c>
      <c r="B202" s="3">
        <v>11</v>
      </c>
    </row>
    <row r="203" spans="1:2" ht="14" x14ac:dyDescent="0.15">
      <c r="A203" s="8">
        <v>45737</v>
      </c>
      <c r="B203" s="3">
        <v>11.5</v>
      </c>
    </row>
    <row r="204" spans="1:2" ht="14" x14ac:dyDescent="0.15">
      <c r="A204" s="8">
        <v>45738</v>
      </c>
      <c r="B204" s="3">
        <v>13</v>
      </c>
    </row>
    <row r="205" spans="1:2" ht="14" x14ac:dyDescent="0.15">
      <c r="A205" s="8">
        <v>45739</v>
      </c>
      <c r="B205" s="4">
        <v>0</v>
      </c>
    </row>
    <row r="206" spans="1:2" ht="14" x14ac:dyDescent="0.15">
      <c r="A206" s="8">
        <v>45740</v>
      </c>
      <c r="B206" s="4">
        <v>0</v>
      </c>
    </row>
    <row r="207" spans="1:2" ht="14" x14ac:dyDescent="0.15">
      <c r="A207" s="8">
        <v>45741</v>
      </c>
      <c r="B207" s="3">
        <v>11</v>
      </c>
    </row>
    <row r="208" spans="1:2" ht="14" x14ac:dyDescent="0.15">
      <c r="A208" s="8">
        <v>45742</v>
      </c>
      <c r="B208" s="3">
        <v>11</v>
      </c>
    </row>
    <row r="209" spans="1:2" ht="14" x14ac:dyDescent="0.15">
      <c r="A209" s="8">
        <v>45743</v>
      </c>
      <c r="B209" s="3">
        <v>12</v>
      </c>
    </row>
    <row r="210" spans="1:2" ht="14" x14ac:dyDescent="0.15">
      <c r="A210" s="8">
        <v>45744</v>
      </c>
      <c r="B210" s="4">
        <v>0</v>
      </c>
    </row>
    <row r="211" spans="1:2" ht="14" x14ac:dyDescent="0.15">
      <c r="A211" s="8">
        <v>45745</v>
      </c>
      <c r="B211" s="3">
        <v>14</v>
      </c>
    </row>
    <row r="212" spans="1:2" ht="14" x14ac:dyDescent="0.15">
      <c r="A212" s="8">
        <v>45746</v>
      </c>
      <c r="B212" s="3">
        <v>15</v>
      </c>
    </row>
    <row r="213" spans="1:2" ht="14" x14ac:dyDescent="0.15">
      <c r="A213" s="8">
        <v>45747</v>
      </c>
      <c r="B213" s="3">
        <v>11</v>
      </c>
    </row>
    <row r="214" spans="1:2" ht="14" x14ac:dyDescent="0.15">
      <c r="A214" s="8">
        <v>45748</v>
      </c>
      <c r="B214" s="3">
        <v>12</v>
      </c>
    </row>
    <row r="215" spans="1:2" ht="14" x14ac:dyDescent="0.15">
      <c r="A215" s="8">
        <v>45749</v>
      </c>
      <c r="B215" s="3">
        <v>19</v>
      </c>
    </row>
    <row r="216" spans="1:2" ht="14" x14ac:dyDescent="0.15">
      <c r="A216" s="8">
        <v>45750</v>
      </c>
      <c r="B216" s="3">
        <v>14</v>
      </c>
    </row>
    <row r="217" spans="1:2" ht="14" x14ac:dyDescent="0.15">
      <c r="A217" s="8">
        <v>45751</v>
      </c>
      <c r="B217" s="3">
        <v>11</v>
      </c>
    </row>
    <row r="218" spans="1:2" ht="14" x14ac:dyDescent="0.15">
      <c r="A218" s="8">
        <v>45752</v>
      </c>
      <c r="B218" s="3">
        <v>13.3</v>
      </c>
    </row>
    <row r="219" spans="1:2" ht="14" x14ac:dyDescent="0.15">
      <c r="A219" s="8">
        <v>45753</v>
      </c>
      <c r="B219" s="3">
        <v>15.5</v>
      </c>
    </row>
    <row r="220" spans="1:2" ht="14" x14ac:dyDescent="0.15">
      <c r="A220" s="8">
        <v>45754</v>
      </c>
      <c r="B220" s="3">
        <v>11.5</v>
      </c>
    </row>
    <row r="221" spans="1:2" ht="14" x14ac:dyDescent="0.15">
      <c r="A221" s="8">
        <v>45755</v>
      </c>
      <c r="B221" s="3">
        <v>14</v>
      </c>
    </row>
    <row r="222" spans="1:2" ht="14" x14ac:dyDescent="0.15">
      <c r="A222" s="8">
        <v>45756</v>
      </c>
      <c r="B222" s="3">
        <v>18.8</v>
      </c>
    </row>
    <row r="223" spans="1:2" ht="14" x14ac:dyDescent="0.15">
      <c r="A223" s="8">
        <v>45757</v>
      </c>
      <c r="B223" s="3">
        <v>11.56</v>
      </c>
    </row>
    <row r="224" spans="1:2" ht="14" x14ac:dyDescent="0.15">
      <c r="A224" s="8">
        <v>45758</v>
      </c>
      <c r="B224" s="3">
        <v>10.8</v>
      </c>
    </row>
    <row r="225" spans="1:2" ht="14" x14ac:dyDescent="0.15">
      <c r="A225" s="8">
        <v>45759</v>
      </c>
      <c r="B225" s="3">
        <v>14.55</v>
      </c>
    </row>
    <row r="226" spans="1:2" ht="14" x14ac:dyDescent="0.15">
      <c r="A226" s="8">
        <v>45760</v>
      </c>
      <c r="B226" s="3">
        <v>15</v>
      </c>
    </row>
    <row r="227" spans="1:2" ht="14" x14ac:dyDescent="0.15">
      <c r="A227" s="8">
        <v>45761</v>
      </c>
      <c r="B227" s="3">
        <v>12</v>
      </c>
    </row>
    <row r="228" spans="1:2" ht="14" x14ac:dyDescent="0.15">
      <c r="A228" s="8">
        <v>45762</v>
      </c>
      <c r="B228" s="3">
        <v>12.5</v>
      </c>
    </row>
    <row r="229" spans="1:2" ht="14" x14ac:dyDescent="0.15">
      <c r="A229" s="8">
        <v>45763</v>
      </c>
      <c r="B229" s="3">
        <v>13.5</v>
      </c>
    </row>
    <row r="230" spans="1:2" ht="14" x14ac:dyDescent="0.15">
      <c r="A230" s="8">
        <v>45764</v>
      </c>
      <c r="B230" s="3">
        <v>15.5</v>
      </c>
    </row>
    <row r="231" spans="1:2" ht="14" x14ac:dyDescent="0.15">
      <c r="A231" s="8">
        <v>45765</v>
      </c>
      <c r="B231" s="3">
        <v>12</v>
      </c>
    </row>
    <row r="232" spans="1:2" ht="14" x14ac:dyDescent="0.15">
      <c r="A232" s="8">
        <v>45766</v>
      </c>
      <c r="B232" s="3">
        <v>12</v>
      </c>
    </row>
    <row r="233" spans="1:2" ht="14" x14ac:dyDescent="0.15">
      <c r="A233" s="8">
        <v>45767</v>
      </c>
      <c r="B233" s="3">
        <v>14</v>
      </c>
    </row>
    <row r="234" spans="1:2" ht="14" x14ac:dyDescent="0.15">
      <c r="A234" s="8">
        <v>45768</v>
      </c>
      <c r="B234" s="3">
        <v>11.5</v>
      </c>
    </row>
    <row r="235" spans="1:2" ht="14" x14ac:dyDescent="0.15">
      <c r="A235" s="8">
        <v>45769</v>
      </c>
      <c r="B235" s="3">
        <v>12.5</v>
      </c>
    </row>
    <row r="236" spans="1:2" ht="14" x14ac:dyDescent="0.15">
      <c r="A236" s="8">
        <v>45770</v>
      </c>
      <c r="B236" s="3">
        <v>18.3</v>
      </c>
    </row>
    <row r="237" spans="1:2" ht="14" x14ac:dyDescent="0.15">
      <c r="A237" s="8">
        <v>45771</v>
      </c>
      <c r="B237" s="3">
        <v>11.6</v>
      </c>
    </row>
    <row r="238" spans="1:2" ht="14" x14ac:dyDescent="0.15">
      <c r="A238" s="8">
        <v>45772</v>
      </c>
      <c r="B238" s="3">
        <v>11.5</v>
      </c>
    </row>
    <row r="239" spans="1:2" ht="14" x14ac:dyDescent="0.15">
      <c r="A239" s="8">
        <v>45773</v>
      </c>
      <c r="B239" s="3">
        <v>14.3</v>
      </c>
    </row>
    <row r="240" spans="1:2" ht="14" x14ac:dyDescent="0.15">
      <c r="A240" s="8">
        <v>45774</v>
      </c>
      <c r="B240" s="3">
        <v>15</v>
      </c>
    </row>
    <row r="241" spans="1:2" ht="14" x14ac:dyDescent="0.15">
      <c r="A241" s="8">
        <v>45775</v>
      </c>
      <c r="B241" s="3">
        <v>21.5</v>
      </c>
    </row>
    <row r="242" spans="1:2" ht="14" x14ac:dyDescent="0.15">
      <c r="A242" s="8">
        <v>45776</v>
      </c>
      <c r="B242" s="3">
        <v>23</v>
      </c>
    </row>
    <row r="243" spans="1:2" ht="14" x14ac:dyDescent="0.15">
      <c r="A243" s="8">
        <v>45777</v>
      </c>
      <c r="B243" s="3">
        <v>12</v>
      </c>
    </row>
    <row r="244" spans="1:2" ht="14" x14ac:dyDescent="0.15">
      <c r="A244" s="8">
        <v>45778</v>
      </c>
      <c r="B244" s="3">
        <v>12</v>
      </c>
    </row>
    <row r="245" spans="1:2" ht="14" x14ac:dyDescent="0.15">
      <c r="A245" s="8">
        <v>45779</v>
      </c>
      <c r="B245" s="3">
        <v>8</v>
      </c>
    </row>
    <row r="246" spans="1:2" ht="14" x14ac:dyDescent="0.15">
      <c r="A246" s="8">
        <v>45780</v>
      </c>
      <c r="B246" s="3">
        <v>12.76</v>
      </c>
    </row>
    <row r="247" spans="1:2" ht="14" x14ac:dyDescent="0.15">
      <c r="A247" s="8">
        <v>45781</v>
      </c>
      <c r="B247" s="3">
        <v>14</v>
      </c>
    </row>
    <row r="248" spans="1:2" ht="14" x14ac:dyDescent="0.15">
      <c r="A248" s="8">
        <v>45782</v>
      </c>
      <c r="B248" s="3">
        <v>11.5</v>
      </c>
    </row>
    <row r="249" spans="1:2" ht="14" x14ac:dyDescent="0.15">
      <c r="A249" s="8">
        <v>45783</v>
      </c>
      <c r="B249" s="3">
        <v>14</v>
      </c>
    </row>
    <row r="250" spans="1:2" ht="14" x14ac:dyDescent="0.15">
      <c r="A250" s="8">
        <v>45784</v>
      </c>
      <c r="B250" s="3">
        <v>18.5</v>
      </c>
    </row>
    <row r="251" spans="1:2" ht="14" x14ac:dyDescent="0.15">
      <c r="A251" s="8">
        <v>45785</v>
      </c>
      <c r="B251" s="3">
        <v>11.5</v>
      </c>
    </row>
    <row r="252" spans="1:2" ht="14" x14ac:dyDescent="0.15">
      <c r="A252" s="8">
        <v>45786</v>
      </c>
      <c r="B252" s="3">
        <v>11.5</v>
      </c>
    </row>
    <row r="253" spans="1:2" ht="14" x14ac:dyDescent="0.15">
      <c r="A253" s="8">
        <v>45787</v>
      </c>
      <c r="B253" s="3">
        <v>15.3</v>
      </c>
    </row>
    <row r="254" spans="1:2" ht="14" x14ac:dyDescent="0.15">
      <c r="A254" s="8">
        <v>45788</v>
      </c>
      <c r="B254" s="3">
        <v>15</v>
      </c>
    </row>
    <row r="255" spans="1:2" ht="14" x14ac:dyDescent="0.15">
      <c r="A255" s="8">
        <v>45789</v>
      </c>
      <c r="B255" s="3">
        <v>11</v>
      </c>
    </row>
    <row r="256" spans="1:2" ht="14" x14ac:dyDescent="0.15">
      <c r="A256" s="8">
        <v>45790</v>
      </c>
      <c r="B256" s="3">
        <v>12</v>
      </c>
    </row>
    <row r="257" spans="1:2" ht="14" x14ac:dyDescent="0.15">
      <c r="A257" s="8">
        <v>45791</v>
      </c>
      <c r="B257" s="3">
        <v>18.5</v>
      </c>
    </row>
    <row r="258" spans="1:2" ht="14" x14ac:dyDescent="0.15">
      <c r="A258" s="8">
        <v>45792</v>
      </c>
      <c r="B258" s="3">
        <v>12</v>
      </c>
    </row>
    <row r="259" spans="1:2" ht="14" x14ac:dyDescent="0.15">
      <c r="A259" s="8">
        <v>45793</v>
      </c>
      <c r="B259" s="3">
        <v>11.5</v>
      </c>
    </row>
    <row r="260" spans="1:2" ht="14" x14ac:dyDescent="0.15">
      <c r="A260" s="8">
        <v>45794</v>
      </c>
      <c r="B260" s="3">
        <v>15</v>
      </c>
    </row>
    <row r="261" spans="1:2" ht="14" x14ac:dyDescent="0.15">
      <c r="A261" s="8">
        <v>45795</v>
      </c>
      <c r="B261" s="3">
        <v>14.5</v>
      </c>
    </row>
    <row r="262" spans="1:2" ht="14" x14ac:dyDescent="0.15">
      <c r="A262" s="8">
        <v>45796</v>
      </c>
      <c r="B262" s="3">
        <v>11.5</v>
      </c>
    </row>
    <row r="263" spans="1:2" ht="14" x14ac:dyDescent="0.15">
      <c r="A263" s="8">
        <v>45797</v>
      </c>
      <c r="B263" s="3">
        <v>11</v>
      </c>
    </row>
    <row r="264" spans="1:2" ht="14" x14ac:dyDescent="0.15">
      <c r="A264" s="8">
        <v>45798</v>
      </c>
      <c r="B264" s="3">
        <v>11.5</v>
      </c>
    </row>
    <row r="265" spans="1:2" ht="14" x14ac:dyDescent="0.15">
      <c r="A265" s="8">
        <v>45799</v>
      </c>
      <c r="B265" s="3">
        <v>12.3</v>
      </c>
    </row>
    <row r="266" spans="1:2" ht="14" x14ac:dyDescent="0.15">
      <c r="A266" s="8">
        <v>45800</v>
      </c>
      <c r="B266" s="3">
        <v>11.75</v>
      </c>
    </row>
    <row r="267" spans="1:2" ht="14" x14ac:dyDescent="0.15">
      <c r="A267" s="8">
        <v>45801</v>
      </c>
      <c r="B267" s="3">
        <v>17.5</v>
      </c>
    </row>
    <row r="268" spans="1:2" ht="14" x14ac:dyDescent="0.15">
      <c r="A268" s="8">
        <v>45802</v>
      </c>
      <c r="B268" s="3">
        <v>15</v>
      </c>
    </row>
    <row r="269" spans="1:2" ht="14" x14ac:dyDescent="0.15">
      <c r="A269" s="8">
        <v>45803</v>
      </c>
      <c r="B269" s="3">
        <v>18.5</v>
      </c>
    </row>
    <row r="270" spans="1:2" ht="14" x14ac:dyDescent="0.15">
      <c r="A270" s="8">
        <v>45804</v>
      </c>
      <c r="B270" s="3">
        <v>10</v>
      </c>
    </row>
    <row r="271" spans="1:2" ht="14" x14ac:dyDescent="0.15">
      <c r="A271" s="8">
        <v>45805</v>
      </c>
      <c r="B271" s="3">
        <v>21.5</v>
      </c>
    </row>
    <row r="272" spans="1:2" ht="14" x14ac:dyDescent="0.15">
      <c r="A272" s="8">
        <v>45806</v>
      </c>
      <c r="B272" s="4">
        <v>0</v>
      </c>
    </row>
    <row r="273" spans="1:2" ht="14" x14ac:dyDescent="0.15">
      <c r="A273" s="8">
        <v>45807</v>
      </c>
      <c r="B273" s="3">
        <v>12.5</v>
      </c>
    </row>
    <row r="274" spans="1:2" ht="14" x14ac:dyDescent="0.15">
      <c r="A274" s="8">
        <v>45808</v>
      </c>
      <c r="B274" s="3">
        <v>13</v>
      </c>
    </row>
    <row r="275" spans="1:2" ht="14" x14ac:dyDescent="0.15">
      <c r="A275" s="8">
        <v>45809</v>
      </c>
      <c r="B275" s="3">
        <v>15</v>
      </c>
    </row>
    <row r="276" spans="1:2" ht="14" x14ac:dyDescent="0.15">
      <c r="A276" s="8">
        <v>45810</v>
      </c>
      <c r="B276" s="3">
        <v>11.8</v>
      </c>
    </row>
    <row r="277" spans="1:2" ht="14" x14ac:dyDescent="0.15">
      <c r="A277" s="8">
        <v>45811</v>
      </c>
      <c r="B277" s="3">
        <v>11.8</v>
      </c>
    </row>
    <row r="278" spans="1:2" ht="14" x14ac:dyDescent="0.15">
      <c r="A278" s="8">
        <v>45812</v>
      </c>
      <c r="B278" s="3">
        <v>11</v>
      </c>
    </row>
    <row r="279" spans="1:2" ht="14" x14ac:dyDescent="0.15">
      <c r="A279" s="8">
        <v>45813</v>
      </c>
      <c r="B279" s="3">
        <v>12</v>
      </c>
    </row>
    <row r="280" spans="1:2" ht="14" x14ac:dyDescent="0.15">
      <c r="A280" s="8">
        <v>45814</v>
      </c>
      <c r="B280" s="3">
        <v>11.5</v>
      </c>
    </row>
    <row r="281" spans="1:2" ht="14" x14ac:dyDescent="0.15">
      <c r="A281" s="8">
        <v>45815</v>
      </c>
      <c r="B281" s="3">
        <v>14.5</v>
      </c>
    </row>
    <row r="282" spans="1:2" ht="14" x14ac:dyDescent="0.15">
      <c r="A282" s="8">
        <v>45816</v>
      </c>
      <c r="B282" s="3">
        <v>15</v>
      </c>
    </row>
    <row r="283" spans="1:2" ht="14" x14ac:dyDescent="0.15">
      <c r="A283" s="8">
        <v>45817</v>
      </c>
      <c r="B283" s="3">
        <v>12</v>
      </c>
    </row>
    <row r="284" spans="1:2" ht="14" x14ac:dyDescent="0.15">
      <c r="A284" s="8">
        <v>45818</v>
      </c>
      <c r="B284" s="3">
        <v>12</v>
      </c>
    </row>
    <row r="285" spans="1:2" ht="14" x14ac:dyDescent="0.15">
      <c r="A285" s="8">
        <v>45819</v>
      </c>
      <c r="B285" s="3">
        <v>11.7</v>
      </c>
    </row>
    <row r="286" spans="1:2" ht="14" x14ac:dyDescent="0.15">
      <c r="A286" s="8">
        <v>45820</v>
      </c>
      <c r="B286" s="3">
        <v>19.5</v>
      </c>
    </row>
    <row r="287" spans="1:2" ht="14" x14ac:dyDescent="0.15">
      <c r="A287" s="8">
        <v>45821</v>
      </c>
      <c r="B287" s="3">
        <v>11.75</v>
      </c>
    </row>
    <row r="288" spans="1:2" ht="14" x14ac:dyDescent="0.15">
      <c r="A288" s="8">
        <v>45822</v>
      </c>
      <c r="B288" s="3">
        <v>13.85</v>
      </c>
    </row>
    <row r="289" spans="1:2" ht="14" x14ac:dyDescent="0.15">
      <c r="A289" s="8">
        <v>45823</v>
      </c>
      <c r="B289" s="3">
        <v>14</v>
      </c>
    </row>
    <row r="290" spans="1:2" ht="14" x14ac:dyDescent="0.15">
      <c r="A290" s="8">
        <v>45824</v>
      </c>
      <c r="B290" s="3">
        <v>11.7</v>
      </c>
    </row>
    <row r="291" spans="1:2" ht="14" x14ac:dyDescent="0.15">
      <c r="A291" s="8">
        <v>45825</v>
      </c>
      <c r="B291" s="3">
        <v>12</v>
      </c>
    </row>
    <row r="292" spans="1:2" ht="14" x14ac:dyDescent="0.15">
      <c r="A292" s="8">
        <v>45826</v>
      </c>
      <c r="B292" s="3">
        <v>12</v>
      </c>
    </row>
    <row r="293" spans="1:2" ht="14" x14ac:dyDescent="0.15">
      <c r="A293" s="8">
        <v>45827</v>
      </c>
      <c r="B293" s="3">
        <v>12</v>
      </c>
    </row>
    <row r="294" spans="1:2" ht="14" x14ac:dyDescent="0.15">
      <c r="A294" s="8">
        <v>45828</v>
      </c>
      <c r="B294" s="3">
        <v>11.5</v>
      </c>
    </row>
    <row r="295" spans="1:2" ht="14" x14ac:dyDescent="0.15">
      <c r="A295" s="8">
        <v>45829</v>
      </c>
      <c r="B295" s="3">
        <v>15.75</v>
      </c>
    </row>
    <row r="296" spans="1:2" ht="14" x14ac:dyDescent="0.15">
      <c r="A296" s="8">
        <v>45830</v>
      </c>
      <c r="B296" s="3">
        <v>22.3</v>
      </c>
    </row>
    <row r="297" spans="1:2" ht="14" x14ac:dyDescent="0.15">
      <c r="A297" s="8">
        <v>45831</v>
      </c>
      <c r="B297" s="3">
        <v>12.1</v>
      </c>
    </row>
    <row r="298" spans="1:2" ht="14" x14ac:dyDescent="0.15">
      <c r="A298" s="8">
        <v>45832</v>
      </c>
      <c r="B298" s="3">
        <v>12.2</v>
      </c>
    </row>
    <row r="299" spans="1:2" ht="14" x14ac:dyDescent="0.15">
      <c r="A299" s="8">
        <v>45833</v>
      </c>
      <c r="B299" s="3">
        <v>19.3</v>
      </c>
    </row>
    <row r="300" spans="1:2" ht="14" x14ac:dyDescent="0.15">
      <c r="A300" s="8">
        <v>45834</v>
      </c>
      <c r="B300" s="3">
        <v>12.3</v>
      </c>
    </row>
    <row r="301" spans="1:2" ht="14" x14ac:dyDescent="0.15">
      <c r="A301" s="8">
        <v>45835</v>
      </c>
      <c r="B301" s="3">
        <v>12.5</v>
      </c>
    </row>
    <row r="302" spans="1:2" ht="14" x14ac:dyDescent="0.15">
      <c r="A302" s="8">
        <v>45836</v>
      </c>
      <c r="B302" s="3">
        <v>16.399999999999999</v>
      </c>
    </row>
    <row r="303" spans="1:2" ht="14" x14ac:dyDescent="0.15">
      <c r="A303" s="8">
        <v>45837</v>
      </c>
      <c r="B303" s="3">
        <v>13</v>
      </c>
    </row>
    <row r="304" spans="1:2" ht="14" x14ac:dyDescent="0.15">
      <c r="A304" s="8">
        <v>45838</v>
      </c>
      <c r="B304" s="3">
        <v>12.5</v>
      </c>
    </row>
    <row r="305" spans="1:2" ht="14" x14ac:dyDescent="0.15">
      <c r="A305" s="8">
        <v>45839</v>
      </c>
      <c r="B305" s="3">
        <v>11.5</v>
      </c>
    </row>
    <row r="306" spans="1:2" ht="14" x14ac:dyDescent="0.15">
      <c r="A306" s="8">
        <v>45840</v>
      </c>
      <c r="B306" s="3">
        <v>22.5</v>
      </c>
    </row>
    <row r="307" spans="1:2" ht="14" x14ac:dyDescent="0.15">
      <c r="A307" s="8">
        <v>45841</v>
      </c>
      <c r="B307" s="3">
        <v>12</v>
      </c>
    </row>
    <row r="308" spans="1:2" ht="14" x14ac:dyDescent="0.15">
      <c r="A308" s="8">
        <v>45842</v>
      </c>
      <c r="B308" s="3">
        <v>10.5</v>
      </c>
    </row>
    <row r="309" spans="1:2" ht="14" x14ac:dyDescent="0.15">
      <c r="A309" s="8">
        <v>45843</v>
      </c>
      <c r="B309" s="3">
        <v>14</v>
      </c>
    </row>
    <row r="310" spans="1:2" ht="14" x14ac:dyDescent="0.15">
      <c r="A310" s="8">
        <v>45844</v>
      </c>
      <c r="B310" s="3">
        <v>24</v>
      </c>
    </row>
    <row r="311" spans="1:2" ht="14" x14ac:dyDescent="0.15">
      <c r="A311" s="8">
        <v>45845</v>
      </c>
      <c r="B311" s="3">
        <v>16.5</v>
      </c>
    </row>
    <row r="312" spans="1:2" ht="14" x14ac:dyDescent="0.15">
      <c r="A312" s="8">
        <v>45846</v>
      </c>
      <c r="B312" s="3">
        <v>17.5</v>
      </c>
    </row>
    <row r="313" spans="1:2" ht="14" x14ac:dyDescent="0.15">
      <c r="A313" s="8">
        <v>45847</v>
      </c>
      <c r="B313" s="3">
        <v>21</v>
      </c>
    </row>
    <row r="314" spans="1:2" ht="14" x14ac:dyDescent="0.15">
      <c r="A314" s="8">
        <v>45848</v>
      </c>
      <c r="B314" s="3">
        <v>11</v>
      </c>
    </row>
    <row r="315" spans="1:2" ht="14" x14ac:dyDescent="0.15">
      <c r="A315" s="8">
        <v>45849</v>
      </c>
      <c r="B315" s="3">
        <v>11</v>
      </c>
    </row>
    <row r="316" spans="1:2" ht="14" x14ac:dyDescent="0.15">
      <c r="A316" s="8">
        <v>45850</v>
      </c>
      <c r="B316" s="3">
        <v>14</v>
      </c>
    </row>
    <row r="317" spans="1:2" ht="14" x14ac:dyDescent="0.15">
      <c r="A317" s="8">
        <v>45851</v>
      </c>
      <c r="B317" s="3">
        <v>23.5</v>
      </c>
    </row>
    <row r="318" spans="1:2" ht="14" x14ac:dyDescent="0.15">
      <c r="A318" s="8">
        <v>45852</v>
      </c>
      <c r="B318" s="3">
        <v>11</v>
      </c>
    </row>
    <row r="319" spans="1:2" ht="14" x14ac:dyDescent="0.15">
      <c r="A319" s="8">
        <v>45853</v>
      </c>
      <c r="B319" s="3">
        <v>12.5</v>
      </c>
    </row>
    <row r="320" spans="1:2" ht="14" x14ac:dyDescent="0.15">
      <c r="A320" s="8">
        <v>45854</v>
      </c>
      <c r="B320" s="3">
        <v>22</v>
      </c>
    </row>
    <row r="321" spans="1:2" ht="14" x14ac:dyDescent="0.15">
      <c r="A321" s="8">
        <v>45855</v>
      </c>
      <c r="B321" s="3">
        <v>22</v>
      </c>
    </row>
    <row r="322" spans="1:2" ht="14" x14ac:dyDescent="0.15">
      <c r="A322" s="8">
        <v>45856</v>
      </c>
      <c r="B322" s="3">
        <v>12</v>
      </c>
    </row>
    <row r="323" spans="1:2" ht="14" x14ac:dyDescent="0.15">
      <c r="A323" s="8">
        <v>45857</v>
      </c>
      <c r="B323" s="3">
        <v>14.5</v>
      </c>
    </row>
    <row r="324" spans="1:2" ht="14" x14ac:dyDescent="0.15">
      <c r="A324" s="8">
        <v>45858</v>
      </c>
      <c r="B324" s="3">
        <v>25.5</v>
      </c>
    </row>
    <row r="325" spans="1:2" ht="14" x14ac:dyDescent="0.15">
      <c r="A325" s="8">
        <v>45859</v>
      </c>
      <c r="B325" s="3">
        <v>12</v>
      </c>
    </row>
    <row r="326" spans="1:2" ht="14" x14ac:dyDescent="0.15">
      <c r="A326" s="8">
        <v>45860</v>
      </c>
      <c r="B326" s="3">
        <v>12</v>
      </c>
    </row>
    <row r="327" spans="1:2" ht="14" x14ac:dyDescent="0.15">
      <c r="A327" s="8">
        <v>45861</v>
      </c>
      <c r="B327" s="3">
        <v>20</v>
      </c>
    </row>
    <row r="328" spans="1:2" ht="14" x14ac:dyDescent="0.15">
      <c r="A328" s="8">
        <v>45862</v>
      </c>
      <c r="B328" s="3">
        <v>11</v>
      </c>
    </row>
    <row r="329" spans="1:2" ht="14" x14ac:dyDescent="0.15">
      <c r="A329" s="8">
        <v>45863</v>
      </c>
      <c r="B329" s="3">
        <v>22</v>
      </c>
    </row>
    <row r="330" spans="1:2" ht="14" x14ac:dyDescent="0.15">
      <c r="A330" s="8">
        <v>45864</v>
      </c>
      <c r="B330" s="3">
        <v>14.5</v>
      </c>
    </row>
    <row r="331" spans="1:2" ht="14" x14ac:dyDescent="0.15">
      <c r="A331" s="8">
        <v>45865</v>
      </c>
      <c r="B331" s="3">
        <v>15</v>
      </c>
    </row>
    <row r="332" spans="1:2" ht="14" x14ac:dyDescent="0.15">
      <c r="A332" s="8">
        <v>45866</v>
      </c>
      <c r="B332" s="3">
        <v>22</v>
      </c>
    </row>
    <row r="333" spans="1:2" ht="14" x14ac:dyDescent="0.15">
      <c r="A333" s="8">
        <v>45867</v>
      </c>
      <c r="B333" s="3">
        <v>12</v>
      </c>
    </row>
    <row r="334" spans="1:2" ht="14" x14ac:dyDescent="0.15">
      <c r="A334" s="8">
        <v>45868</v>
      </c>
      <c r="B334" s="4">
        <v>0</v>
      </c>
    </row>
    <row r="335" spans="1:2" ht="14" x14ac:dyDescent="0.15">
      <c r="A335" s="8">
        <v>45869</v>
      </c>
      <c r="B335" s="3">
        <v>8</v>
      </c>
    </row>
    <row r="336" spans="1:2" ht="14" x14ac:dyDescent="0.15">
      <c r="A336" s="8">
        <v>45870</v>
      </c>
      <c r="B336" s="4">
        <v>0</v>
      </c>
    </row>
    <row r="337" spans="1:2" ht="14" x14ac:dyDescent="0.15">
      <c r="A337" s="8">
        <v>45871</v>
      </c>
      <c r="B337" s="3">
        <v>8</v>
      </c>
    </row>
    <row r="338" spans="1:2" ht="14" x14ac:dyDescent="0.15">
      <c r="A338" s="8">
        <v>45872</v>
      </c>
      <c r="B338" s="4">
        <v>0</v>
      </c>
    </row>
    <row r="339" spans="1:2" ht="14" x14ac:dyDescent="0.15">
      <c r="A339" s="8">
        <v>45873</v>
      </c>
      <c r="B339" s="3">
        <v>21</v>
      </c>
    </row>
    <row r="340" spans="1:2" ht="14" x14ac:dyDescent="0.15">
      <c r="A340" s="8">
        <v>45874</v>
      </c>
      <c r="B340" s="3">
        <v>22</v>
      </c>
    </row>
    <row r="341" spans="1:2" ht="14" x14ac:dyDescent="0.15">
      <c r="A341" s="8">
        <v>45875</v>
      </c>
      <c r="B341" s="3">
        <v>21.5</v>
      </c>
    </row>
    <row r="342" spans="1:2" ht="14" x14ac:dyDescent="0.15">
      <c r="A342" s="8">
        <v>45876</v>
      </c>
      <c r="B342" s="3">
        <v>22.1</v>
      </c>
    </row>
    <row r="343" spans="1:2" ht="14" x14ac:dyDescent="0.15">
      <c r="A343" s="8">
        <v>45877</v>
      </c>
      <c r="B343" s="3">
        <v>22.5</v>
      </c>
    </row>
    <row r="344" spans="1:2" ht="14" x14ac:dyDescent="0.15">
      <c r="A344" s="8">
        <v>45878</v>
      </c>
      <c r="B344" s="3">
        <v>23</v>
      </c>
    </row>
    <row r="345" spans="1:2" ht="14" x14ac:dyDescent="0.15">
      <c r="A345" s="8">
        <v>45879</v>
      </c>
      <c r="B345" s="3">
        <v>13</v>
      </c>
    </row>
    <row r="346" spans="1:2" ht="14" x14ac:dyDescent="0.15">
      <c r="A346" s="8">
        <v>45880</v>
      </c>
      <c r="B346" s="3">
        <v>16</v>
      </c>
    </row>
    <row r="347" spans="1:2" ht="14" x14ac:dyDescent="0.15">
      <c r="A347" s="8">
        <v>45881</v>
      </c>
      <c r="B347" s="3">
        <v>14</v>
      </c>
    </row>
    <row r="348" spans="1:2" ht="14" x14ac:dyDescent="0.15">
      <c r="A348" s="8">
        <v>45882</v>
      </c>
      <c r="B348" s="3">
        <v>10.43</v>
      </c>
    </row>
    <row r="349" spans="1:2" ht="14" x14ac:dyDescent="0.15">
      <c r="A349" s="8">
        <v>45883</v>
      </c>
      <c r="B349" s="3">
        <v>12.6</v>
      </c>
    </row>
    <row r="350" spans="1:2" ht="14" x14ac:dyDescent="0.15">
      <c r="A350" s="8">
        <v>45884</v>
      </c>
      <c r="B350" s="4">
        <v>0</v>
      </c>
    </row>
    <row r="351" spans="1:2" ht="14" x14ac:dyDescent="0.15">
      <c r="A351" s="8">
        <v>45885</v>
      </c>
      <c r="B351" s="3">
        <v>23</v>
      </c>
    </row>
    <row r="352" spans="1:2" ht="14" x14ac:dyDescent="0.15">
      <c r="A352" s="8">
        <v>45886</v>
      </c>
      <c r="B352" s="3">
        <v>15</v>
      </c>
    </row>
    <row r="353" spans="1:2" ht="14" x14ac:dyDescent="0.15">
      <c r="A353" s="8">
        <v>45887</v>
      </c>
      <c r="B353" s="5">
        <v>13.6</v>
      </c>
    </row>
    <row r="354" spans="1:2" ht="14" x14ac:dyDescent="0.15">
      <c r="A354" s="8">
        <v>45888</v>
      </c>
      <c r="B354" s="5">
        <v>12</v>
      </c>
    </row>
    <row r="355" spans="1:2" ht="14" x14ac:dyDescent="0.15">
      <c r="A355" s="8">
        <v>45889</v>
      </c>
      <c r="B355" s="5">
        <v>22</v>
      </c>
    </row>
    <row r="356" spans="1:2" ht="14" x14ac:dyDescent="0.15">
      <c r="A356" s="8">
        <v>45890</v>
      </c>
      <c r="B356" s="5">
        <f>12+10</f>
        <v>22</v>
      </c>
    </row>
    <row r="357" spans="1:2" ht="14" x14ac:dyDescent="0.15">
      <c r="A357" s="8">
        <v>45891</v>
      </c>
      <c r="B357" s="5">
        <f>12+9</f>
        <v>21</v>
      </c>
    </row>
    <row r="358" spans="1:2" ht="14" x14ac:dyDescent="0.15">
      <c r="A358" s="8">
        <v>45892</v>
      </c>
      <c r="B358" s="5">
        <f>3.56+8+2.01+9.09</f>
        <v>22.66</v>
      </c>
    </row>
    <row r="359" spans="1:2" ht="14" x14ac:dyDescent="0.15">
      <c r="A359" s="8">
        <v>45893</v>
      </c>
      <c r="B359" s="5">
        <f>14.5+9</f>
        <v>23.5</v>
      </c>
    </row>
    <row r="360" spans="1:2" ht="14" x14ac:dyDescent="0.15">
      <c r="A360" s="8">
        <v>45894</v>
      </c>
      <c r="B360" s="5">
        <v>12</v>
      </c>
    </row>
    <row r="361" spans="1:2" ht="14" x14ac:dyDescent="0.15">
      <c r="A361" s="8">
        <v>45895</v>
      </c>
      <c r="B361" s="5">
        <v>13.5</v>
      </c>
    </row>
    <row r="362" spans="1:2" ht="14" x14ac:dyDescent="0.15">
      <c r="A362" s="8">
        <v>45896</v>
      </c>
      <c r="B362" s="5">
        <v>12</v>
      </c>
    </row>
    <row r="363" spans="1:2" ht="14" x14ac:dyDescent="0.15">
      <c r="A363" s="8">
        <v>45897</v>
      </c>
      <c r="B363" s="5">
        <v>12</v>
      </c>
    </row>
    <row r="364" spans="1:2" ht="14" x14ac:dyDescent="0.15">
      <c r="A364" s="8">
        <v>45898</v>
      </c>
      <c r="B364" s="5">
        <f>11.7+9.04</f>
        <v>20.74</v>
      </c>
    </row>
    <row r="365" spans="1:2" ht="14" x14ac:dyDescent="0.15">
      <c r="A365" s="8">
        <v>45899</v>
      </c>
      <c r="B365" s="5">
        <f>3.53+8.03+2+9</f>
        <v>22.56</v>
      </c>
    </row>
    <row r="366" spans="1:2" ht="14" x14ac:dyDescent="0.15">
      <c r="A366" s="8">
        <v>45900</v>
      </c>
      <c r="B366" s="5">
        <v>14</v>
      </c>
    </row>
    <row r="367" spans="1:2" ht="14" x14ac:dyDescent="0.15">
      <c r="A367" s="7">
        <v>45901</v>
      </c>
      <c r="B367" s="9">
        <f>11+10</f>
        <v>21</v>
      </c>
    </row>
    <row r="368" spans="1:2" ht="14" x14ac:dyDescent="0.15">
      <c r="A368" s="7">
        <v>45902</v>
      </c>
      <c r="B368" s="9">
        <v>12</v>
      </c>
    </row>
    <row r="369" spans="1:2" ht="14" x14ac:dyDescent="0.15">
      <c r="A369" s="7">
        <v>45903</v>
      </c>
      <c r="B369" s="9">
        <f>10+2.53+2+2+2+1.51</f>
        <v>20.040000000000003</v>
      </c>
    </row>
    <row r="370" spans="1:2" ht="14" x14ac:dyDescent="0.15">
      <c r="A370" s="7">
        <v>45904</v>
      </c>
      <c r="B370" s="9">
        <f>11+11</f>
        <v>22</v>
      </c>
    </row>
    <row r="371" spans="1:2" ht="14" x14ac:dyDescent="0.15">
      <c r="A371" s="7">
        <v>45905</v>
      </c>
      <c r="B371" s="9">
        <v>11.5</v>
      </c>
    </row>
    <row r="372" spans="1:2" ht="14" x14ac:dyDescent="0.15">
      <c r="A372" s="7">
        <v>45906</v>
      </c>
      <c r="B372" s="9">
        <v>17.5</v>
      </c>
    </row>
    <row r="373" spans="1:2" ht="14" x14ac:dyDescent="0.15">
      <c r="A373" s="7">
        <v>45907</v>
      </c>
      <c r="B373" s="9">
        <f>13+9.5</f>
        <v>22.5</v>
      </c>
    </row>
    <row r="374" spans="1:2" ht="14" x14ac:dyDescent="0.15">
      <c r="A374" s="7">
        <v>45908</v>
      </c>
      <c r="B374" s="9">
        <f>12.5+9.5</f>
        <v>22</v>
      </c>
    </row>
    <row r="375" spans="1:2" ht="14" x14ac:dyDescent="0.15">
      <c r="A375" s="7">
        <v>45909</v>
      </c>
      <c r="B375" s="9">
        <v>13</v>
      </c>
    </row>
    <row r="376" spans="1:2" ht="14" x14ac:dyDescent="0.15">
      <c r="A376" s="7">
        <v>45910</v>
      </c>
      <c r="B376" s="9">
        <f>11+3+6+1.5</f>
        <v>21.5</v>
      </c>
    </row>
    <row r="377" spans="1:2" ht="14" x14ac:dyDescent="0.15">
      <c r="A377" s="7">
        <v>45911</v>
      </c>
      <c r="B377" s="9">
        <f>11+10</f>
        <v>21</v>
      </c>
    </row>
    <row r="378" spans="1:2" ht="14" x14ac:dyDescent="0.15">
      <c r="A378" s="7">
        <v>45912</v>
      </c>
      <c r="B378" s="9">
        <v>12</v>
      </c>
    </row>
    <row r="379" spans="1:2" ht="14" x14ac:dyDescent="0.15">
      <c r="A379" s="7">
        <v>45913</v>
      </c>
      <c r="B379" s="9">
        <v>7</v>
      </c>
    </row>
    <row r="380" spans="1:2" ht="14" x14ac:dyDescent="0.15">
      <c r="A380" s="7">
        <v>45914</v>
      </c>
      <c r="B380" s="9">
        <v>12</v>
      </c>
    </row>
    <row r="381" spans="1:2" ht="14" x14ac:dyDescent="0.15">
      <c r="A381" s="7">
        <v>45915</v>
      </c>
      <c r="B381" s="9">
        <f>11.53+9</f>
        <v>20.53</v>
      </c>
    </row>
    <row r="382" spans="1:2" ht="14" x14ac:dyDescent="0.15">
      <c r="A382" s="7">
        <v>45916</v>
      </c>
      <c r="B382" s="9">
        <f>11+9</f>
        <v>20</v>
      </c>
    </row>
    <row r="383" spans="1:2" ht="14" x14ac:dyDescent="0.15">
      <c r="A383" s="7">
        <v>45917</v>
      </c>
      <c r="B383" s="9">
        <f>3+2+2+2+2+8.81</f>
        <v>19.810000000000002</v>
      </c>
    </row>
    <row r="384" spans="1:2" ht="14" x14ac:dyDescent="0.15">
      <c r="A384" s="7">
        <v>45918</v>
      </c>
      <c r="B384" s="9">
        <v>14</v>
      </c>
    </row>
    <row r="385" spans="1:2" ht="14" x14ac:dyDescent="0.15">
      <c r="A385" s="7">
        <v>45919</v>
      </c>
      <c r="B385" s="9">
        <v>11</v>
      </c>
    </row>
    <row r="386" spans="1:2" ht="14" x14ac:dyDescent="0.15">
      <c r="A386" s="7">
        <v>45920</v>
      </c>
      <c r="B386" s="9">
        <f>16+10.5</f>
        <v>26.5</v>
      </c>
    </row>
    <row r="387" spans="1:2" ht="14" x14ac:dyDescent="0.15">
      <c r="A387" s="7">
        <v>45921</v>
      </c>
      <c r="B387" s="9">
        <v>13.5</v>
      </c>
    </row>
    <row r="388" spans="1:2" ht="14" x14ac:dyDescent="0.15">
      <c r="A388" s="7">
        <v>45922</v>
      </c>
      <c r="B388" s="9">
        <v>19</v>
      </c>
    </row>
    <row r="389" spans="1:2" ht="14" x14ac:dyDescent="0.15">
      <c r="A389" s="7">
        <v>45923</v>
      </c>
      <c r="B389" s="9">
        <f>11+10</f>
        <v>21</v>
      </c>
    </row>
    <row r="390" spans="1:2" ht="14" x14ac:dyDescent="0.15">
      <c r="A390" s="7">
        <v>45924</v>
      </c>
      <c r="B390" s="9">
        <v>11.5</v>
      </c>
    </row>
    <row r="391" spans="1:2" ht="14" x14ac:dyDescent="0.15">
      <c r="A391" s="7">
        <v>45925</v>
      </c>
      <c r="B391" s="9">
        <f>4+5.81+1+0.8*4</f>
        <v>14.009999999999998</v>
      </c>
    </row>
    <row r="392" spans="1:2" ht="14" x14ac:dyDescent="0.15">
      <c r="A392" s="7">
        <v>45926</v>
      </c>
      <c r="B392" s="9">
        <v>12</v>
      </c>
    </row>
    <row r="393" spans="1:2" ht="14" x14ac:dyDescent="0.15">
      <c r="A393" s="7">
        <v>45927</v>
      </c>
      <c r="B393" s="9">
        <f>16+10</f>
        <v>26</v>
      </c>
    </row>
    <row r="394" spans="1:2" ht="14" x14ac:dyDescent="0.15">
      <c r="A394" s="7">
        <v>45928</v>
      </c>
      <c r="B394" s="9">
        <v>13.5</v>
      </c>
    </row>
    <row r="395" spans="1:2" ht="14" x14ac:dyDescent="0.15">
      <c r="A395" s="7">
        <v>45929</v>
      </c>
      <c r="B395" s="16">
        <f>11.4+9</f>
        <v>20.399999999999999</v>
      </c>
    </row>
    <row r="396" spans="1:2" ht="14" x14ac:dyDescent="0.15">
      <c r="A396" s="7">
        <v>45930</v>
      </c>
      <c r="B396" s="16">
        <f>11.71+10.51</f>
        <v>22.22</v>
      </c>
    </row>
    <row r="397" spans="1:2" ht="14" x14ac:dyDescent="0.15">
      <c r="A397" s="7">
        <v>45931</v>
      </c>
      <c r="B397" s="16">
        <f>11.5+9</f>
        <v>20.5</v>
      </c>
    </row>
    <row r="398" spans="1:2" ht="14" x14ac:dyDescent="0.15">
      <c r="A398" s="7">
        <v>45932</v>
      </c>
      <c r="B398" s="16">
        <f>4.3+0.5+0.5+0.8*4+5.75</f>
        <v>14.25</v>
      </c>
    </row>
    <row r="399" spans="1:2" ht="14" x14ac:dyDescent="0.15">
      <c r="A399" s="7">
        <v>45933</v>
      </c>
      <c r="B399" s="16">
        <v>11.8</v>
      </c>
    </row>
    <row r="400" spans="1:2" ht="14" x14ac:dyDescent="0.15">
      <c r="A400" s="7">
        <v>45934</v>
      </c>
      <c r="B400" s="16">
        <f>3+10+3+10</f>
        <v>26</v>
      </c>
    </row>
    <row r="401" spans="1:2" ht="14" x14ac:dyDescent="0.15">
      <c r="A401" s="7">
        <v>45935</v>
      </c>
      <c r="B401" s="16">
        <v>14</v>
      </c>
    </row>
    <row r="402" spans="1:2" ht="14" x14ac:dyDescent="0.15">
      <c r="A402" s="7">
        <v>45936</v>
      </c>
      <c r="B402" s="12">
        <f>11.5+9</f>
        <v>20.5</v>
      </c>
    </row>
    <row r="403" spans="1:2" ht="14" x14ac:dyDescent="0.15">
      <c r="A403" s="7">
        <v>45937</v>
      </c>
      <c r="B403" s="12">
        <f>11.5+10</f>
        <v>21.5</v>
      </c>
    </row>
    <row r="404" spans="1:2" ht="14" x14ac:dyDescent="0.15">
      <c r="A404" s="7">
        <v>45938</v>
      </c>
      <c r="B404" s="12">
        <v>12.62</v>
      </c>
    </row>
    <row r="405" spans="1:2" ht="14" x14ac:dyDescent="0.15">
      <c r="A405" s="7">
        <v>45939</v>
      </c>
      <c r="B405" s="12">
        <f>3+0.5+0.5+8+2</f>
        <v>14</v>
      </c>
    </row>
    <row r="406" spans="1:2" ht="14" x14ac:dyDescent="0.15">
      <c r="A406" s="7">
        <v>45940</v>
      </c>
      <c r="B406" s="12">
        <f>11.5+6</f>
        <v>17.5</v>
      </c>
    </row>
    <row r="407" spans="1:2" ht="14" x14ac:dyDescent="0.15">
      <c r="A407" s="7">
        <v>45941</v>
      </c>
      <c r="B407" s="12">
        <f>15.5+10</f>
        <v>25.5</v>
      </c>
    </row>
    <row r="408" spans="1:2" ht="14" x14ac:dyDescent="0.15">
      <c r="A408" s="7">
        <v>45942</v>
      </c>
      <c r="B408" s="12">
        <v>15</v>
      </c>
    </row>
    <row r="409" spans="1:2" ht="14" x14ac:dyDescent="0.15">
      <c r="A409" s="7">
        <v>45943</v>
      </c>
      <c r="B409" s="13">
        <f>13+11</f>
        <v>24</v>
      </c>
    </row>
    <row r="410" spans="1:2" ht="14" x14ac:dyDescent="0.15">
      <c r="A410" s="7">
        <v>45944</v>
      </c>
      <c r="B410" s="13">
        <f>11.5+10.5</f>
        <v>22</v>
      </c>
    </row>
    <row r="411" spans="1:2" ht="14" x14ac:dyDescent="0.15">
      <c r="A411" s="7">
        <v>45945</v>
      </c>
      <c r="B411" s="13">
        <v>12</v>
      </c>
    </row>
    <row r="412" spans="1:2" ht="14" x14ac:dyDescent="0.15">
      <c r="A412" s="7">
        <v>45946</v>
      </c>
      <c r="B412" s="13">
        <v>16</v>
      </c>
    </row>
    <row r="413" spans="1:2" ht="14" x14ac:dyDescent="0.15">
      <c r="A413" s="7">
        <v>45947</v>
      </c>
      <c r="B413" s="13">
        <f>11.5+6.5</f>
        <v>18</v>
      </c>
    </row>
    <row r="414" spans="1:2" ht="14" x14ac:dyDescent="0.15">
      <c r="A414" s="7">
        <v>45948</v>
      </c>
      <c r="B414" s="13">
        <f>3.04+12.02+1.1+10.5</f>
        <v>26.66</v>
      </c>
    </row>
    <row r="415" spans="1:2" ht="14" x14ac:dyDescent="0.15">
      <c r="A415" s="7">
        <v>45949</v>
      </c>
      <c r="B415" s="13">
        <f>14.01+12.02</f>
        <v>26.03</v>
      </c>
    </row>
    <row r="416" spans="1:2" ht="14" x14ac:dyDescent="0.15">
      <c r="A416" s="7">
        <v>45950</v>
      </c>
      <c r="B416" s="14">
        <f>11.01+8.01</f>
        <v>19.02</v>
      </c>
    </row>
    <row r="417" spans="1:2" ht="14" x14ac:dyDescent="0.15">
      <c r="A417" s="7">
        <v>45951</v>
      </c>
      <c r="B417" s="14">
        <f>11.01+11.01</f>
        <v>22.02</v>
      </c>
    </row>
    <row r="418" spans="1:2" ht="14" x14ac:dyDescent="0.15">
      <c r="A418" s="7">
        <v>45952</v>
      </c>
      <c r="B418" s="14">
        <v>12</v>
      </c>
    </row>
    <row r="419" spans="1:2" ht="14" x14ac:dyDescent="0.15">
      <c r="A419" s="7">
        <v>45953</v>
      </c>
      <c r="B419" s="14">
        <f>10.7+10.5</f>
        <v>21.2</v>
      </c>
    </row>
    <row r="420" spans="1:2" ht="14" x14ac:dyDescent="0.15">
      <c r="A420" s="7">
        <v>45954</v>
      </c>
      <c r="B420" s="14">
        <v>15</v>
      </c>
    </row>
    <row r="421" spans="1:2" ht="14" x14ac:dyDescent="0.15">
      <c r="A421" s="7">
        <v>45955</v>
      </c>
      <c r="B421" s="14">
        <v>0</v>
      </c>
    </row>
    <row r="422" spans="1:2" ht="14" x14ac:dyDescent="0.15">
      <c r="A422" s="7">
        <v>45956</v>
      </c>
      <c r="B422" s="14">
        <f>3.15+1+6.02+5.09+10.5</f>
        <v>25.759999999999998</v>
      </c>
    </row>
    <row r="423" spans="1:2" ht="14" x14ac:dyDescent="0.15">
      <c r="A423" s="7">
        <v>45957</v>
      </c>
      <c r="B423" s="15">
        <f>11.5+14.5</f>
        <v>26</v>
      </c>
    </row>
    <row r="424" spans="1:2" ht="14" x14ac:dyDescent="0.15">
      <c r="A424" s="7">
        <v>45958</v>
      </c>
      <c r="B424" s="15">
        <v>11.5</v>
      </c>
    </row>
    <row r="425" spans="1:2" ht="14" x14ac:dyDescent="0.15">
      <c r="A425" s="7">
        <v>45959</v>
      </c>
      <c r="B425" s="15">
        <v>0</v>
      </c>
    </row>
    <row r="426" spans="1:2" ht="14" x14ac:dyDescent="0.15">
      <c r="A426" s="7">
        <v>45960</v>
      </c>
      <c r="B426" s="15">
        <f>11+11.8</f>
        <v>22.8</v>
      </c>
    </row>
    <row r="427" spans="1:2" ht="14" x14ac:dyDescent="0.15">
      <c r="A427" s="7">
        <v>45961</v>
      </c>
      <c r="B427" s="15">
        <f>11.21+7.5</f>
        <v>18.71</v>
      </c>
    </row>
    <row r="428" spans="1:2" ht="14" x14ac:dyDescent="0.15">
      <c r="A428" s="7">
        <v>45962</v>
      </c>
      <c r="B428" s="15">
        <f>3+9+2+10</f>
        <v>24</v>
      </c>
    </row>
    <row r="429" spans="1:2" ht="14" x14ac:dyDescent="0.15">
      <c r="A429" s="19">
        <v>45963</v>
      </c>
      <c r="B429" s="15">
        <v>13.5</v>
      </c>
    </row>
    <row r="430" spans="1:2" ht="14" x14ac:dyDescent="0.15">
      <c r="A430" s="7">
        <v>45964</v>
      </c>
      <c r="B430" s="17">
        <v>11.02</v>
      </c>
    </row>
    <row r="431" spans="1:2" ht="14" x14ac:dyDescent="0.15">
      <c r="A431" s="7">
        <v>45965</v>
      </c>
      <c r="B431" s="17">
        <f>11.51+10.02</f>
        <v>21.53</v>
      </c>
    </row>
    <row r="432" spans="1:2" ht="14" x14ac:dyDescent="0.15">
      <c r="A432" s="7">
        <v>45966</v>
      </c>
      <c r="B432" s="17">
        <f>11.8+14</f>
        <v>25.8</v>
      </c>
    </row>
    <row r="433" spans="1:2" ht="14" x14ac:dyDescent="0.15">
      <c r="A433" s="7">
        <v>45967</v>
      </c>
      <c r="B433" s="17">
        <v>11.02</v>
      </c>
    </row>
    <row r="434" spans="1:2" ht="14" x14ac:dyDescent="0.15">
      <c r="A434" s="7">
        <v>45968</v>
      </c>
      <c r="B434" s="17">
        <v>0</v>
      </c>
    </row>
    <row r="435" spans="1:2" ht="14" x14ac:dyDescent="0.15">
      <c r="A435" s="7">
        <v>45969</v>
      </c>
      <c r="B435" s="17">
        <f>4.69+10.24+2.5+12</f>
        <v>29.43</v>
      </c>
    </row>
    <row r="436" spans="1:2" ht="14" x14ac:dyDescent="0.15">
      <c r="A436" s="19">
        <v>45970</v>
      </c>
      <c r="B436" s="17">
        <f>14.01+11.02</f>
        <v>25.03</v>
      </c>
    </row>
    <row r="437" spans="1:2" ht="14" x14ac:dyDescent="0.15">
      <c r="A437" s="7">
        <v>45971</v>
      </c>
      <c r="B437" s="18">
        <f>11+8</f>
        <v>19</v>
      </c>
    </row>
    <row r="438" spans="1:2" ht="14" x14ac:dyDescent="0.15">
      <c r="A438" s="7">
        <v>45972</v>
      </c>
      <c r="B438" s="18">
        <v>12.5</v>
      </c>
    </row>
    <row r="439" spans="1:2" ht="14" x14ac:dyDescent="0.15">
      <c r="A439" s="7">
        <v>45973</v>
      </c>
      <c r="B439" s="18">
        <v>10.89</v>
      </c>
    </row>
    <row r="440" spans="1:2" ht="14" x14ac:dyDescent="0.15">
      <c r="A440" s="7">
        <v>45974</v>
      </c>
      <c r="B440" s="18">
        <v>12.9</v>
      </c>
    </row>
    <row r="441" spans="1:2" ht="14" x14ac:dyDescent="0.15">
      <c r="A441" s="7">
        <v>45975</v>
      </c>
      <c r="B441" s="18">
        <v>10.75</v>
      </c>
    </row>
    <row r="442" spans="1:2" ht="14" x14ac:dyDescent="0.15">
      <c r="A442" s="7">
        <v>45976</v>
      </c>
      <c r="B442" s="18">
        <v>15</v>
      </c>
    </row>
    <row r="443" spans="1:2" ht="14" x14ac:dyDescent="0.15">
      <c r="A443" s="19">
        <v>45977</v>
      </c>
      <c r="B443" s="18">
        <f>15+12</f>
        <v>27</v>
      </c>
    </row>
    <row r="444" spans="1:2" ht="14" x14ac:dyDescent="0.15">
      <c r="A444" s="7">
        <v>45978</v>
      </c>
      <c r="B444" s="20">
        <f>11.02+8.52</f>
        <v>19.54</v>
      </c>
    </row>
    <row r="445" spans="1:2" ht="14" x14ac:dyDescent="0.15">
      <c r="A445" s="7">
        <v>45979</v>
      </c>
      <c r="B445" s="20">
        <v>13</v>
      </c>
    </row>
    <row r="446" spans="1:2" ht="14" x14ac:dyDescent="0.15">
      <c r="A446" s="7">
        <v>45980</v>
      </c>
      <c r="B446" s="20">
        <v>9.49</v>
      </c>
    </row>
    <row r="447" spans="1:2" ht="14" x14ac:dyDescent="0.15">
      <c r="A447" s="7">
        <v>45981</v>
      </c>
      <c r="B447" s="20">
        <v>13</v>
      </c>
    </row>
    <row r="448" spans="1:2" ht="14" x14ac:dyDescent="0.15">
      <c r="A448" s="7">
        <v>45982</v>
      </c>
      <c r="B448" s="20">
        <f>11.5+8</f>
        <v>19.5</v>
      </c>
    </row>
    <row r="449" spans="1:2" ht="14" x14ac:dyDescent="0.15">
      <c r="A449" s="7">
        <v>45983</v>
      </c>
      <c r="B449" s="20">
        <f>4+6+4+11</f>
        <v>25</v>
      </c>
    </row>
    <row r="450" spans="1:2" ht="14" x14ac:dyDescent="0.15">
      <c r="A450" s="19">
        <v>45984</v>
      </c>
      <c r="B450" s="20">
        <f>3+10.2+3</f>
        <v>16.2</v>
      </c>
    </row>
    <row r="451" spans="1:2" ht="14" x14ac:dyDescent="0.15">
      <c r="A451" s="7">
        <v>45985</v>
      </c>
      <c r="B451" s="21">
        <f>11+8</f>
        <v>19</v>
      </c>
    </row>
    <row r="452" spans="1:2" ht="14" x14ac:dyDescent="0.15">
      <c r="A452" s="7">
        <v>45986</v>
      </c>
      <c r="B452" s="21">
        <v>13</v>
      </c>
    </row>
    <row r="453" spans="1:2" ht="14" x14ac:dyDescent="0.15">
      <c r="A453" s="7">
        <v>45987</v>
      </c>
      <c r="B453" s="21">
        <f>9.24+5.93</f>
        <v>15.17</v>
      </c>
    </row>
    <row r="454" spans="1:2" ht="14" x14ac:dyDescent="0.15">
      <c r="A454" s="7">
        <v>45988</v>
      </c>
      <c r="B454" s="21">
        <v>12.59</v>
      </c>
    </row>
    <row r="455" spans="1:2" ht="14" x14ac:dyDescent="0.15">
      <c r="A455" s="7">
        <v>45989</v>
      </c>
      <c r="B455" s="21">
        <f>12.02+8</f>
        <v>20.02</v>
      </c>
    </row>
    <row r="456" spans="1:2" ht="14" x14ac:dyDescent="0.15">
      <c r="A456" s="7">
        <v>45990</v>
      </c>
      <c r="B456" s="21">
        <v>15.01</v>
      </c>
    </row>
    <row r="457" spans="1:2" ht="14" x14ac:dyDescent="0.15">
      <c r="A457" s="19">
        <v>45991</v>
      </c>
      <c r="B457" s="21">
        <v>16.440000000000001</v>
      </c>
    </row>
    <row r="458" spans="1:2" ht="14" x14ac:dyDescent="0.15">
      <c r="A458" s="7">
        <v>45992</v>
      </c>
      <c r="B458" s="30">
        <f>11.52+8.35</f>
        <v>19.869999999999997</v>
      </c>
    </row>
    <row r="459" spans="1:2" ht="14" x14ac:dyDescent="0.15">
      <c r="A459" s="7">
        <v>45993</v>
      </c>
      <c r="B459" s="30">
        <f>12.41+9.02</f>
        <v>21.43</v>
      </c>
    </row>
    <row r="460" spans="1:2" ht="14" x14ac:dyDescent="0.15">
      <c r="A460" s="7">
        <v>45994</v>
      </c>
      <c r="B460" s="30">
        <f>12.5+8.01</f>
        <v>20.509999999999998</v>
      </c>
    </row>
    <row r="461" spans="1:2" ht="14" x14ac:dyDescent="0.15">
      <c r="A461" s="7">
        <v>45995</v>
      </c>
      <c r="B461" s="30">
        <v>12</v>
      </c>
    </row>
    <row r="462" spans="1:2" ht="14" x14ac:dyDescent="0.15">
      <c r="A462" s="7">
        <v>45996</v>
      </c>
      <c r="B462" s="30">
        <v>10</v>
      </c>
    </row>
    <row r="463" spans="1:2" ht="14" x14ac:dyDescent="0.15">
      <c r="A463" s="7">
        <v>45997</v>
      </c>
      <c r="B463" s="30">
        <f>4.51+6.02+3.5+11</f>
        <v>25.03</v>
      </c>
    </row>
    <row r="464" spans="1:2" ht="14" x14ac:dyDescent="0.15">
      <c r="A464" s="19">
        <v>45998</v>
      </c>
      <c r="B464" s="30">
        <v>16</v>
      </c>
    </row>
    <row r="465" spans="1:2" ht="14" x14ac:dyDescent="0.15">
      <c r="A465" s="7">
        <v>45999</v>
      </c>
      <c r="B465" s="16">
        <v>12.52</v>
      </c>
    </row>
    <row r="466" spans="1:2" ht="14" x14ac:dyDescent="0.15">
      <c r="A466" s="7">
        <v>46000</v>
      </c>
      <c r="B466" s="16">
        <f>12+4.02+3+3</f>
        <v>22.02</v>
      </c>
    </row>
    <row r="467" spans="1:2" ht="14" x14ac:dyDescent="0.15">
      <c r="A467" s="7">
        <v>46001</v>
      </c>
      <c r="B467" s="16">
        <v>0</v>
      </c>
    </row>
    <row r="468" spans="1:2" ht="14" x14ac:dyDescent="0.15">
      <c r="A468" s="7">
        <v>46002</v>
      </c>
      <c r="B468" s="16">
        <f>13+7.9</f>
        <v>20.9</v>
      </c>
    </row>
    <row r="469" spans="1:2" ht="14" x14ac:dyDescent="0.15">
      <c r="A469" s="7">
        <v>46003</v>
      </c>
      <c r="B469" s="16">
        <f>11.5+8</f>
        <v>19.5</v>
      </c>
    </row>
    <row r="470" spans="1:2" ht="14" x14ac:dyDescent="0.15">
      <c r="A470" s="7">
        <v>46004</v>
      </c>
      <c r="B470" s="16">
        <f>3.78+2.01+2.01+2+4.01+11</f>
        <v>24.81</v>
      </c>
    </row>
    <row r="471" spans="1:2" ht="14" x14ac:dyDescent="0.15">
      <c r="A471" s="19">
        <v>46005</v>
      </c>
      <c r="B471" s="16">
        <f>17+9</f>
        <v>26</v>
      </c>
    </row>
    <row r="472" spans="1:2" ht="14" x14ac:dyDescent="0.15">
      <c r="A472" s="7">
        <v>46006</v>
      </c>
      <c r="B472" s="15">
        <v>11.5</v>
      </c>
    </row>
    <row r="473" spans="1:2" ht="14" x14ac:dyDescent="0.15">
      <c r="A473" s="7">
        <v>46007</v>
      </c>
      <c r="B473" s="15">
        <v>12</v>
      </c>
    </row>
    <row r="474" spans="1:2" ht="14" x14ac:dyDescent="0.15">
      <c r="A474" s="7">
        <v>46008</v>
      </c>
      <c r="B474" s="15">
        <f>3.4+3.2+3.8</f>
        <v>10.399999999999999</v>
      </c>
    </row>
    <row r="475" spans="1:2" ht="14" x14ac:dyDescent="0.15">
      <c r="A475" s="7">
        <v>46009</v>
      </c>
      <c r="B475" s="15">
        <f>12+9</f>
        <v>21</v>
      </c>
    </row>
    <row r="476" spans="1:2" ht="14" x14ac:dyDescent="0.15">
      <c r="A476" s="7">
        <v>46010</v>
      </c>
      <c r="B476" s="15">
        <f>11+9.76</f>
        <v>20.759999999999998</v>
      </c>
    </row>
    <row r="477" spans="1:2" ht="14" x14ac:dyDescent="0.15">
      <c r="A477" s="7">
        <v>46011</v>
      </c>
      <c r="B477" s="15">
        <f>10+14</f>
        <v>24</v>
      </c>
    </row>
    <row r="478" spans="1:2" ht="14" x14ac:dyDescent="0.15">
      <c r="A478" s="19">
        <v>46012</v>
      </c>
      <c r="B478" s="15">
        <v>16</v>
      </c>
    </row>
    <row r="479" spans="1:2" ht="14" x14ac:dyDescent="0.15">
      <c r="A479" s="7">
        <v>46013</v>
      </c>
      <c r="B479" s="12">
        <f>11.5+10</f>
        <v>21.5</v>
      </c>
    </row>
    <row r="480" spans="1:2" ht="14" x14ac:dyDescent="0.15">
      <c r="A480" s="7">
        <v>46014</v>
      </c>
      <c r="B480" s="12">
        <f>12+10</f>
        <v>22</v>
      </c>
    </row>
    <row r="481" spans="1:2" ht="14" x14ac:dyDescent="0.15">
      <c r="A481" s="7">
        <v>46015</v>
      </c>
      <c r="B481" s="12">
        <v>14</v>
      </c>
    </row>
    <row r="482" spans="1:2" ht="14" x14ac:dyDescent="0.15">
      <c r="A482" s="7">
        <v>46016</v>
      </c>
      <c r="B482" s="12">
        <v>19.5</v>
      </c>
    </row>
    <row r="483" spans="1:2" ht="14" x14ac:dyDescent="0.15">
      <c r="A483" s="7">
        <v>46017</v>
      </c>
      <c r="B483" s="12">
        <f>11.5+10</f>
        <v>21.5</v>
      </c>
    </row>
    <row r="484" spans="1:2" ht="14" x14ac:dyDescent="0.15">
      <c r="A484" s="7">
        <v>46018</v>
      </c>
      <c r="B484" s="12">
        <f>5+5+2.5</f>
        <v>12.5</v>
      </c>
    </row>
    <row r="485" spans="1:2" ht="14" x14ac:dyDescent="0.15">
      <c r="A485" s="19">
        <v>46019</v>
      </c>
      <c r="B485" s="12">
        <f>16.8+12</f>
        <v>28.8</v>
      </c>
    </row>
    <row r="486" spans="1:2" ht="14" x14ac:dyDescent="0.15">
      <c r="A486" s="7">
        <v>46020</v>
      </c>
      <c r="B486" s="18">
        <v>10</v>
      </c>
    </row>
    <row r="487" spans="1:2" ht="14" x14ac:dyDescent="0.15">
      <c r="A487" s="7">
        <v>46021</v>
      </c>
      <c r="B487" s="18">
        <v>0</v>
      </c>
    </row>
    <row r="488" spans="1:2" ht="14" x14ac:dyDescent="0.15">
      <c r="A488" s="7">
        <v>46022</v>
      </c>
      <c r="B488" s="18">
        <f>5+10</f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4776-D9A8-AF40-91DE-08D324918DBE}">
  <dimension ref="A1:D123"/>
  <sheetViews>
    <sheetView workbookViewId="0">
      <selection sqref="A1:C1"/>
    </sheetView>
  </sheetViews>
  <sheetFormatPr baseColWidth="10" defaultRowHeight="13" x14ac:dyDescent="0.15"/>
  <cols>
    <col min="1" max="1" width="8" customWidth="1"/>
    <col min="2" max="2" width="6.6640625" customWidth="1"/>
    <col min="3" max="3" width="7" style="28" customWidth="1"/>
  </cols>
  <sheetData>
    <row r="1" spans="1:3" ht="30" x14ac:dyDescent="0.15">
      <c r="A1" s="10" t="s">
        <v>0</v>
      </c>
      <c r="B1" s="10" t="s">
        <v>1</v>
      </c>
      <c r="C1" s="22" t="s">
        <v>2</v>
      </c>
    </row>
    <row r="2" spans="1:3" ht="14" x14ac:dyDescent="0.15">
      <c r="A2" s="7">
        <v>45901</v>
      </c>
      <c r="B2" s="9">
        <f>11+10</f>
        <v>21</v>
      </c>
      <c r="C2" s="23"/>
    </row>
    <row r="3" spans="1:3" ht="14" x14ac:dyDescent="0.15">
      <c r="A3" s="7">
        <v>45902</v>
      </c>
      <c r="B3" s="9">
        <v>12</v>
      </c>
      <c r="C3" s="23"/>
    </row>
    <row r="4" spans="1:3" ht="14" x14ac:dyDescent="0.15">
      <c r="A4" s="7">
        <v>45903</v>
      </c>
      <c r="B4" s="9">
        <f>10+2.53+2+2+2+1.51</f>
        <v>20.040000000000003</v>
      </c>
      <c r="C4" s="23"/>
    </row>
    <row r="5" spans="1:3" ht="14" x14ac:dyDescent="0.15">
      <c r="A5" s="7">
        <v>45904</v>
      </c>
      <c r="B5" s="9">
        <f>11+11</f>
        <v>22</v>
      </c>
      <c r="C5" s="23"/>
    </row>
    <row r="6" spans="1:3" ht="14" x14ac:dyDescent="0.15">
      <c r="A6" s="7">
        <v>45905</v>
      </c>
      <c r="B6" s="9">
        <v>11.5</v>
      </c>
      <c r="C6" s="23"/>
    </row>
    <row r="7" spans="1:3" ht="14" x14ac:dyDescent="0.15">
      <c r="A7" s="7">
        <v>45906</v>
      </c>
      <c r="B7" s="9">
        <v>17.5</v>
      </c>
      <c r="C7" s="23"/>
    </row>
    <row r="8" spans="1:3" ht="14" x14ac:dyDescent="0.15">
      <c r="A8" s="7">
        <v>45907</v>
      </c>
      <c r="B8" s="9">
        <f>13+9.5</f>
        <v>22.5</v>
      </c>
      <c r="C8" s="23"/>
    </row>
    <row r="9" spans="1:3" ht="14" x14ac:dyDescent="0.15">
      <c r="A9" s="7">
        <v>45908</v>
      </c>
      <c r="B9" s="9">
        <f>12.5+9.5</f>
        <v>22</v>
      </c>
      <c r="C9" s="23"/>
    </row>
    <row r="10" spans="1:3" ht="14" x14ac:dyDescent="0.15">
      <c r="A10" s="7">
        <v>45909</v>
      </c>
      <c r="B10" s="9">
        <v>13</v>
      </c>
      <c r="C10" s="23"/>
    </row>
    <row r="11" spans="1:3" ht="14" x14ac:dyDescent="0.15">
      <c r="A11" s="7">
        <v>45910</v>
      </c>
      <c r="B11" s="9">
        <f>11+3+6+1.5</f>
        <v>21.5</v>
      </c>
      <c r="C11" s="23"/>
    </row>
    <row r="12" spans="1:3" ht="14" x14ac:dyDescent="0.15">
      <c r="A12" s="7">
        <v>45911</v>
      </c>
      <c r="B12" s="9">
        <f>11+10</f>
        <v>21</v>
      </c>
      <c r="C12" s="23"/>
    </row>
    <row r="13" spans="1:3" ht="14" x14ac:dyDescent="0.15">
      <c r="A13" s="7">
        <v>45912</v>
      </c>
      <c r="B13" s="9">
        <v>12</v>
      </c>
      <c r="C13" s="23"/>
    </row>
    <row r="14" spans="1:3" ht="14" x14ac:dyDescent="0.15">
      <c r="A14" s="7">
        <v>45913</v>
      </c>
      <c r="B14" s="9">
        <v>7</v>
      </c>
      <c r="C14" s="23"/>
    </row>
    <row r="15" spans="1:3" ht="14" x14ac:dyDescent="0.15">
      <c r="A15" s="7">
        <v>45914</v>
      </c>
      <c r="B15" s="9">
        <v>12</v>
      </c>
      <c r="C15" s="23"/>
    </row>
    <row r="16" spans="1:3" ht="14" x14ac:dyDescent="0.15">
      <c r="A16" s="7">
        <v>45915</v>
      </c>
      <c r="B16" s="9">
        <f>11.53+9</f>
        <v>20.53</v>
      </c>
      <c r="C16" s="23"/>
    </row>
    <row r="17" spans="1:3" ht="14" x14ac:dyDescent="0.15">
      <c r="A17" s="7">
        <v>45916</v>
      </c>
      <c r="B17" s="9">
        <f>11+9</f>
        <v>20</v>
      </c>
      <c r="C17" s="23"/>
    </row>
    <row r="18" spans="1:3" ht="14" x14ac:dyDescent="0.15">
      <c r="A18" s="7">
        <v>45917</v>
      </c>
      <c r="B18" s="9">
        <f>3+2+2+2+2+8.81</f>
        <v>19.810000000000002</v>
      </c>
      <c r="C18" s="23"/>
    </row>
    <row r="19" spans="1:3" ht="14" x14ac:dyDescent="0.15">
      <c r="A19" s="7">
        <v>45918</v>
      </c>
      <c r="B19" s="9">
        <v>14</v>
      </c>
      <c r="C19" s="23"/>
    </row>
    <row r="20" spans="1:3" ht="14" x14ac:dyDescent="0.15">
      <c r="A20" s="7">
        <v>45919</v>
      </c>
      <c r="B20" s="9">
        <v>11</v>
      </c>
      <c r="C20" s="23"/>
    </row>
    <row r="21" spans="1:3" ht="14" x14ac:dyDescent="0.15">
      <c r="A21" s="7">
        <v>45920</v>
      </c>
      <c r="B21" s="9">
        <f>16+10.5</f>
        <v>26.5</v>
      </c>
      <c r="C21" s="23"/>
    </row>
    <row r="22" spans="1:3" ht="14" x14ac:dyDescent="0.15">
      <c r="A22" s="7">
        <v>45921</v>
      </c>
      <c r="B22" s="9">
        <v>13.5</v>
      </c>
      <c r="C22" s="23"/>
    </row>
    <row r="23" spans="1:3" ht="14" x14ac:dyDescent="0.15">
      <c r="A23" s="7">
        <v>45922</v>
      </c>
      <c r="B23" s="9">
        <v>19</v>
      </c>
      <c r="C23" s="23"/>
    </row>
    <row r="24" spans="1:3" ht="14" x14ac:dyDescent="0.15">
      <c r="A24" s="7">
        <v>45923</v>
      </c>
      <c r="B24" s="9">
        <f>11+10</f>
        <v>21</v>
      </c>
      <c r="C24" s="23"/>
    </row>
    <row r="25" spans="1:3" ht="14" x14ac:dyDescent="0.15">
      <c r="A25" s="7">
        <v>45924</v>
      </c>
      <c r="B25" s="9">
        <v>11.5</v>
      </c>
      <c r="C25" s="23"/>
    </row>
    <row r="26" spans="1:3" ht="14" x14ac:dyDescent="0.15">
      <c r="A26" s="7">
        <v>45925</v>
      </c>
      <c r="B26" s="9">
        <f>4+5.81+1+0.8*4</f>
        <v>14.009999999999998</v>
      </c>
      <c r="C26" s="23"/>
    </row>
    <row r="27" spans="1:3" ht="14" x14ac:dyDescent="0.15">
      <c r="A27" s="7">
        <v>45926</v>
      </c>
      <c r="B27" s="9">
        <v>12</v>
      </c>
      <c r="C27" s="23"/>
    </row>
    <row r="28" spans="1:3" ht="14" x14ac:dyDescent="0.15">
      <c r="A28" s="7">
        <v>45927</v>
      </c>
      <c r="B28" s="9">
        <f>16+10</f>
        <v>26</v>
      </c>
      <c r="C28" s="23"/>
    </row>
    <row r="29" spans="1:3" ht="14" x14ac:dyDescent="0.15">
      <c r="A29" s="7">
        <v>45928</v>
      </c>
      <c r="B29" s="9">
        <v>13.5</v>
      </c>
      <c r="C29" s="23"/>
    </row>
    <row r="30" spans="1:3" ht="14" x14ac:dyDescent="0.15">
      <c r="A30" s="7">
        <v>45929</v>
      </c>
      <c r="B30" s="16">
        <f>11.4+9</f>
        <v>20.399999999999999</v>
      </c>
      <c r="C30" s="23"/>
    </row>
    <row r="31" spans="1:3" ht="14" x14ac:dyDescent="0.15">
      <c r="A31" s="7">
        <v>45930</v>
      </c>
      <c r="B31" s="16">
        <f>11.71+10.51</f>
        <v>22.22</v>
      </c>
      <c r="C31" s="23"/>
    </row>
    <row r="32" spans="1:3" ht="14" x14ac:dyDescent="0.15">
      <c r="A32" s="7">
        <v>45931</v>
      </c>
      <c r="B32" s="16">
        <f>11.5+9</f>
        <v>20.5</v>
      </c>
      <c r="C32" s="23"/>
    </row>
    <row r="33" spans="1:4" ht="14" x14ac:dyDescent="0.15">
      <c r="A33" s="7">
        <v>45932</v>
      </c>
      <c r="B33" s="16">
        <f>4.3+0.5+0.5+0.8*4+5.75</f>
        <v>14.25</v>
      </c>
      <c r="C33" s="23"/>
    </row>
    <row r="34" spans="1:4" ht="14" x14ac:dyDescent="0.15">
      <c r="A34" s="7">
        <v>45933</v>
      </c>
      <c r="B34" s="16">
        <v>11.8</v>
      </c>
      <c r="C34" s="23"/>
      <c r="D34" s="11"/>
    </row>
    <row r="35" spans="1:4" ht="14" x14ac:dyDescent="0.15">
      <c r="A35" s="7">
        <v>45934</v>
      </c>
      <c r="B35" s="16">
        <f>3+10+3+10</f>
        <v>26</v>
      </c>
      <c r="C35" s="23"/>
    </row>
    <row r="36" spans="1:4" ht="14" x14ac:dyDescent="0.15">
      <c r="A36" s="7">
        <v>45935</v>
      </c>
      <c r="B36" s="16">
        <v>14</v>
      </c>
      <c r="C36" s="23"/>
    </row>
    <row r="37" spans="1:4" ht="14" x14ac:dyDescent="0.15">
      <c r="A37" s="7">
        <v>45936</v>
      </c>
      <c r="B37" s="12">
        <f>11.5+9</f>
        <v>20.5</v>
      </c>
      <c r="C37" s="23"/>
    </row>
    <row r="38" spans="1:4" ht="14" x14ac:dyDescent="0.15">
      <c r="A38" s="7">
        <v>45937</v>
      </c>
      <c r="B38" s="12">
        <f>11.5+10</f>
        <v>21.5</v>
      </c>
      <c r="C38" s="23"/>
    </row>
    <row r="39" spans="1:4" ht="14" x14ac:dyDescent="0.15">
      <c r="A39" s="7">
        <v>45938</v>
      </c>
      <c r="B39" s="12">
        <v>12.62</v>
      </c>
      <c r="C39" s="23"/>
    </row>
    <row r="40" spans="1:4" ht="14" x14ac:dyDescent="0.15">
      <c r="A40" s="7">
        <v>45939</v>
      </c>
      <c r="B40" s="12">
        <f>3+0.5+0.5+8+2</f>
        <v>14</v>
      </c>
      <c r="C40" s="23"/>
    </row>
    <row r="41" spans="1:4" ht="14" x14ac:dyDescent="0.15">
      <c r="A41" s="7">
        <v>45940</v>
      </c>
      <c r="B41" s="12">
        <f>11.5+6</f>
        <v>17.5</v>
      </c>
      <c r="C41" s="23"/>
    </row>
    <row r="42" spans="1:4" ht="14" x14ac:dyDescent="0.15">
      <c r="A42" s="7">
        <v>45941</v>
      </c>
      <c r="B42" s="12">
        <f>15.5+10</f>
        <v>25.5</v>
      </c>
      <c r="C42" s="23"/>
    </row>
    <row r="43" spans="1:4" ht="14" x14ac:dyDescent="0.15">
      <c r="A43" s="7">
        <v>45942</v>
      </c>
      <c r="B43" s="12">
        <v>15</v>
      </c>
      <c r="C43" s="23"/>
    </row>
    <row r="44" spans="1:4" ht="14" x14ac:dyDescent="0.15">
      <c r="A44" s="7">
        <v>45943</v>
      </c>
      <c r="B44" s="13">
        <f>13+11</f>
        <v>24</v>
      </c>
      <c r="C44" s="23"/>
    </row>
    <row r="45" spans="1:4" ht="14" x14ac:dyDescent="0.15">
      <c r="A45" s="7">
        <v>45944</v>
      </c>
      <c r="B45" s="13">
        <f>11.5+10.5</f>
        <v>22</v>
      </c>
      <c r="C45" s="23"/>
    </row>
    <row r="46" spans="1:4" ht="14" x14ac:dyDescent="0.15">
      <c r="A46" s="7">
        <v>45945</v>
      </c>
      <c r="B46" s="13">
        <v>12</v>
      </c>
      <c r="C46" s="23"/>
    </row>
    <row r="47" spans="1:4" ht="14" x14ac:dyDescent="0.15">
      <c r="A47" s="7">
        <v>45946</v>
      </c>
      <c r="B47" s="13">
        <v>16</v>
      </c>
      <c r="C47" s="23"/>
    </row>
    <row r="48" spans="1:4" ht="14" x14ac:dyDescent="0.15">
      <c r="A48" s="7">
        <v>45947</v>
      </c>
      <c r="B48" s="13">
        <f>11.5+6.5</f>
        <v>18</v>
      </c>
      <c r="C48" s="23"/>
    </row>
    <row r="49" spans="1:3" ht="14" x14ac:dyDescent="0.15">
      <c r="A49" s="7">
        <v>45948</v>
      </c>
      <c r="B49" s="13">
        <f>3.04+12.02+1.1+10.5</f>
        <v>26.66</v>
      </c>
      <c r="C49" s="23"/>
    </row>
    <row r="50" spans="1:3" ht="14" x14ac:dyDescent="0.15">
      <c r="A50" s="7">
        <v>45949</v>
      </c>
      <c r="B50" s="13">
        <f>14.01+12.02</f>
        <v>26.03</v>
      </c>
      <c r="C50" s="23"/>
    </row>
    <row r="51" spans="1:3" ht="14" x14ac:dyDescent="0.15">
      <c r="A51" s="7">
        <v>45950</v>
      </c>
      <c r="B51" s="14">
        <f>11.01+8.01</f>
        <v>19.02</v>
      </c>
      <c r="C51" s="23"/>
    </row>
    <row r="52" spans="1:3" ht="14" x14ac:dyDescent="0.15">
      <c r="A52" s="7">
        <v>45951</v>
      </c>
      <c r="B52" s="14">
        <f>11.01+11.01</f>
        <v>22.02</v>
      </c>
      <c r="C52" s="23"/>
    </row>
    <row r="53" spans="1:3" ht="14" x14ac:dyDescent="0.15">
      <c r="A53" s="7">
        <v>45952</v>
      </c>
      <c r="B53" s="14">
        <v>12</v>
      </c>
      <c r="C53" s="23"/>
    </row>
    <row r="54" spans="1:3" ht="14" x14ac:dyDescent="0.15">
      <c r="A54" s="7">
        <v>45953</v>
      </c>
      <c r="B54" s="14">
        <f>10.7+10.5</f>
        <v>21.2</v>
      </c>
      <c r="C54" s="23"/>
    </row>
    <row r="55" spans="1:3" ht="14" x14ac:dyDescent="0.15">
      <c r="A55" s="7">
        <v>45954</v>
      </c>
      <c r="B55" s="14">
        <v>15</v>
      </c>
      <c r="C55" s="23"/>
    </row>
    <row r="56" spans="1:3" ht="14" x14ac:dyDescent="0.15">
      <c r="A56" s="7">
        <v>45955</v>
      </c>
      <c r="B56" s="14">
        <v>0</v>
      </c>
      <c r="C56" s="23"/>
    </row>
    <row r="57" spans="1:3" ht="14" x14ac:dyDescent="0.15">
      <c r="A57" s="7">
        <v>45956</v>
      </c>
      <c r="B57" s="14">
        <f>3.15+1+6.02+5.09+10.5</f>
        <v>25.759999999999998</v>
      </c>
      <c r="C57" s="23"/>
    </row>
    <row r="58" spans="1:3" ht="14" x14ac:dyDescent="0.15">
      <c r="A58" s="7">
        <v>45957</v>
      </c>
      <c r="B58" s="15">
        <f>11.5+14.5</f>
        <v>26</v>
      </c>
      <c r="C58" s="23"/>
    </row>
    <row r="59" spans="1:3" ht="14" x14ac:dyDescent="0.15">
      <c r="A59" s="7">
        <v>45958</v>
      </c>
      <c r="B59" s="15">
        <v>11.5</v>
      </c>
      <c r="C59" s="23"/>
    </row>
    <row r="60" spans="1:3" ht="14" x14ac:dyDescent="0.15">
      <c r="A60" s="7">
        <v>45959</v>
      </c>
      <c r="B60" s="15">
        <v>0</v>
      </c>
      <c r="C60" s="23"/>
    </row>
    <row r="61" spans="1:3" ht="14" x14ac:dyDescent="0.15">
      <c r="A61" s="7">
        <v>45960</v>
      </c>
      <c r="B61" s="15">
        <f>11+11.8</f>
        <v>22.8</v>
      </c>
      <c r="C61" s="23"/>
    </row>
    <row r="62" spans="1:3" ht="14" x14ac:dyDescent="0.15">
      <c r="A62" s="7">
        <v>45961</v>
      </c>
      <c r="B62" s="15">
        <f>11.21+7.5</f>
        <v>18.71</v>
      </c>
      <c r="C62" s="23"/>
    </row>
    <row r="63" spans="1:3" ht="14" x14ac:dyDescent="0.15">
      <c r="A63" s="7">
        <v>45962</v>
      </c>
      <c r="B63" s="15">
        <f>3+9+2+10</f>
        <v>24</v>
      </c>
      <c r="C63" s="23"/>
    </row>
    <row r="64" spans="1:3" ht="14" x14ac:dyDescent="0.15">
      <c r="A64" s="19">
        <v>45963</v>
      </c>
      <c r="B64" s="15">
        <v>13.5</v>
      </c>
      <c r="C64" s="23"/>
    </row>
    <row r="65" spans="1:3" ht="14" x14ac:dyDescent="0.15">
      <c r="A65" s="7">
        <v>45964</v>
      </c>
      <c r="B65" s="17">
        <v>11.02</v>
      </c>
      <c r="C65" s="24">
        <v>60</v>
      </c>
    </row>
    <row r="66" spans="1:3" ht="14" x14ac:dyDescent="0.15">
      <c r="A66" s="7">
        <v>45965</v>
      </c>
      <c r="B66" s="17">
        <f>11.51+10.02</f>
        <v>21.53</v>
      </c>
      <c r="C66" s="24">
        <v>59.9</v>
      </c>
    </row>
    <row r="67" spans="1:3" ht="14" x14ac:dyDescent="0.15">
      <c r="A67" s="7">
        <v>45966</v>
      </c>
      <c r="B67" s="17">
        <f>11.8+14</f>
        <v>25.8</v>
      </c>
      <c r="C67" s="24">
        <v>59.8</v>
      </c>
    </row>
    <row r="68" spans="1:3" ht="14" x14ac:dyDescent="0.15">
      <c r="A68" s="7">
        <v>45967</v>
      </c>
      <c r="B68" s="17">
        <v>11.02</v>
      </c>
      <c r="C68" s="24">
        <v>59.8</v>
      </c>
    </row>
    <row r="69" spans="1:3" ht="14" x14ac:dyDescent="0.15">
      <c r="A69" s="7">
        <v>45968</v>
      </c>
      <c r="B69" s="17">
        <v>0</v>
      </c>
      <c r="C69" s="24">
        <v>59.8</v>
      </c>
    </row>
    <row r="70" spans="1:3" ht="14" x14ac:dyDescent="0.15">
      <c r="A70" s="7">
        <v>45969</v>
      </c>
      <c r="B70" s="17">
        <f>4.69+10.24+2.5+12</f>
        <v>29.43</v>
      </c>
      <c r="C70" s="24">
        <v>59.9</v>
      </c>
    </row>
    <row r="71" spans="1:3" ht="14" x14ac:dyDescent="0.15">
      <c r="A71" s="19">
        <v>45970</v>
      </c>
      <c r="B71" s="17">
        <f>14.01+11.02</f>
        <v>25.03</v>
      </c>
      <c r="C71" s="24">
        <v>60.3</v>
      </c>
    </row>
    <row r="72" spans="1:3" ht="14" x14ac:dyDescent="0.15">
      <c r="A72" s="7">
        <v>45971</v>
      </c>
      <c r="B72" s="18">
        <f>11+8</f>
        <v>19</v>
      </c>
      <c r="C72" s="25">
        <v>60.7</v>
      </c>
    </row>
    <row r="73" spans="1:3" ht="14" x14ac:dyDescent="0.15">
      <c r="A73" s="7">
        <v>45972</v>
      </c>
      <c r="B73" s="18">
        <v>12.5</v>
      </c>
      <c r="C73" s="25">
        <v>59.9</v>
      </c>
    </row>
    <row r="74" spans="1:3" ht="14" x14ac:dyDescent="0.15">
      <c r="A74" s="7">
        <v>45973</v>
      </c>
      <c r="B74" s="18">
        <v>10.89</v>
      </c>
      <c r="C74" s="25">
        <v>59.8</v>
      </c>
    </row>
    <row r="75" spans="1:3" ht="14" x14ac:dyDescent="0.15">
      <c r="A75" s="7">
        <v>45974</v>
      </c>
      <c r="B75" s="18">
        <v>12.9</v>
      </c>
      <c r="C75" s="25">
        <v>59.7</v>
      </c>
    </row>
    <row r="76" spans="1:3" ht="14" x14ac:dyDescent="0.15">
      <c r="A76" s="7">
        <v>45975</v>
      </c>
      <c r="B76" s="18">
        <v>10.75</v>
      </c>
      <c r="C76" s="25">
        <v>60.3</v>
      </c>
    </row>
    <row r="77" spans="1:3" ht="14" x14ac:dyDescent="0.15">
      <c r="A77" s="7">
        <v>45976</v>
      </c>
      <c r="B77" s="18">
        <v>15</v>
      </c>
      <c r="C77" s="25">
        <v>59.8</v>
      </c>
    </row>
    <row r="78" spans="1:3" ht="14" x14ac:dyDescent="0.15">
      <c r="A78" s="19">
        <v>45977</v>
      </c>
      <c r="B78" s="18">
        <f>15+12</f>
        <v>27</v>
      </c>
      <c r="C78" s="25">
        <v>60.5</v>
      </c>
    </row>
    <row r="79" spans="1:3" ht="14" x14ac:dyDescent="0.15">
      <c r="A79" s="7">
        <v>45978</v>
      </c>
      <c r="B79" s="20">
        <f>11.02+8.52</f>
        <v>19.54</v>
      </c>
      <c r="C79" s="26">
        <v>60.5</v>
      </c>
    </row>
    <row r="80" spans="1:3" ht="14" x14ac:dyDescent="0.15">
      <c r="A80" s="7">
        <v>45979</v>
      </c>
      <c r="B80" s="20">
        <v>13</v>
      </c>
      <c r="C80" s="26">
        <v>60.4</v>
      </c>
    </row>
    <row r="81" spans="1:3" ht="14" x14ac:dyDescent="0.15">
      <c r="A81" s="7">
        <v>45980</v>
      </c>
      <c r="B81" s="20">
        <v>9.49</v>
      </c>
      <c r="C81" s="26">
        <v>59.8</v>
      </c>
    </row>
    <row r="82" spans="1:3" ht="14" x14ac:dyDescent="0.15">
      <c r="A82" s="7">
        <v>45981</v>
      </c>
      <c r="B82" s="20">
        <v>13</v>
      </c>
      <c r="C82" s="26">
        <v>60.2</v>
      </c>
    </row>
    <row r="83" spans="1:3" ht="14" x14ac:dyDescent="0.15">
      <c r="A83" s="7">
        <v>45982</v>
      </c>
      <c r="B83" s="20">
        <f>11.5+8</f>
        <v>19.5</v>
      </c>
      <c r="C83" s="26">
        <v>59.4</v>
      </c>
    </row>
    <row r="84" spans="1:3" ht="14" x14ac:dyDescent="0.15">
      <c r="A84" s="7">
        <v>45983</v>
      </c>
      <c r="B84" s="20">
        <f>4+6+4+11</f>
        <v>25</v>
      </c>
      <c r="C84" s="26">
        <v>59.8</v>
      </c>
    </row>
    <row r="85" spans="1:3" ht="14" x14ac:dyDescent="0.15">
      <c r="A85" s="19">
        <v>45984</v>
      </c>
      <c r="B85" s="20">
        <f>3+10.2+3</f>
        <v>16.2</v>
      </c>
      <c r="C85" s="26">
        <v>60.2</v>
      </c>
    </row>
    <row r="86" spans="1:3" ht="14" x14ac:dyDescent="0.15">
      <c r="A86" s="7">
        <v>45985</v>
      </c>
      <c r="B86" s="21">
        <f>11+8</f>
        <v>19</v>
      </c>
      <c r="C86" s="27">
        <v>60</v>
      </c>
    </row>
    <row r="87" spans="1:3" ht="14" x14ac:dyDescent="0.15">
      <c r="A87" s="7">
        <v>45986</v>
      </c>
      <c r="B87" s="21">
        <v>13</v>
      </c>
      <c r="C87" s="27">
        <v>60</v>
      </c>
    </row>
    <row r="88" spans="1:3" ht="14" x14ac:dyDescent="0.15">
      <c r="A88" s="7">
        <v>45987</v>
      </c>
      <c r="B88" s="21">
        <f>9.24+5.93</f>
        <v>15.17</v>
      </c>
      <c r="C88" s="27">
        <v>60.2</v>
      </c>
    </row>
    <row r="89" spans="1:3" ht="14" x14ac:dyDescent="0.15">
      <c r="A89" s="7">
        <v>45988</v>
      </c>
      <c r="B89" s="21">
        <v>12.59</v>
      </c>
      <c r="C89" s="27">
        <v>60.1</v>
      </c>
    </row>
    <row r="90" spans="1:3" ht="14" x14ac:dyDescent="0.15">
      <c r="A90" s="7">
        <v>45989</v>
      </c>
      <c r="B90" s="21">
        <f>12.02+8</f>
        <v>20.02</v>
      </c>
      <c r="C90" s="27">
        <v>59.5</v>
      </c>
    </row>
    <row r="91" spans="1:3" ht="14" x14ac:dyDescent="0.15">
      <c r="A91" s="7">
        <v>45990</v>
      </c>
      <c r="B91" s="21">
        <v>15.01</v>
      </c>
      <c r="C91" s="27">
        <v>60.2</v>
      </c>
    </row>
    <row r="92" spans="1:3" ht="14" x14ac:dyDescent="0.15">
      <c r="A92" s="19">
        <v>45991</v>
      </c>
      <c r="B92" s="21">
        <v>16.440000000000001</v>
      </c>
      <c r="C92" s="31">
        <v>60.7</v>
      </c>
    </row>
    <row r="93" spans="1:3" ht="14" x14ac:dyDescent="0.15">
      <c r="A93" s="7">
        <v>45992</v>
      </c>
      <c r="B93" s="30">
        <f>11.52+8.35</f>
        <v>19.869999999999997</v>
      </c>
      <c r="C93" s="33">
        <v>60.7</v>
      </c>
    </row>
    <row r="94" spans="1:3" ht="14" x14ac:dyDescent="0.15">
      <c r="A94" s="7">
        <v>45993</v>
      </c>
      <c r="B94" s="30">
        <f>12.41+9.02</f>
        <v>21.43</v>
      </c>
      <c r="C94" s="33">
        <v>60.3</v>
      </c>
    </row>
    <row r="95" spans="1:3" ht="14" x14ac:dyDescent="0.15">
      <c r="A95" s="7">
        <v>45994</v>
      </c>
      <c r="B95" s="30">
        <f>12.5+8.01</f>
        <v>20.509999999999998</v>
      </c>
      <c r="C95" s="33">
        <v>60.5</v>
      </c>
    </row>
    <row r="96" spans="1:3" ht="14" x14ac:dyDescent="0.15">
      <c r="A96" s="7">
        <v>45995</v>
      </c>
      <c r="B96" s="30">
        <v>12</v>
      </c>
      <c r="C96" s="33">
        <v>60.3</v>
      </c>
    </row>
    <row r="97" spans="1:3" ht="14" x14ac:dyDescent="0.15">
      <c r="A97" s="7">
        <v>45996</v>
      </c>
      <c r="B97" s="30">
        <v>10</v>
      </c>
      <c r="C97" s="33">
        <v>59.9</v>
      </c>
    </row>
    <row r="98" spans="1:3" ht="14" x14ac:dyDescent="0.15">
      <c r="A98" s="7">
        <v>45997</v>
      </c>
      <c r="B98" s="30">
        <f>4.51+6.02+3.5+11</f>
        <v>25.03</v>
      </c>
      <c r="C98" s="33">
        <v>60.5</v>
      </c>
    </row>
    <row r="99" spans="1:3" ht="14" x14ac:dyDescent="0.15">
      <c r="A99" s="19">
        <v>45998</v>
      </c>
      <c r="B99" s="30">
        <v>16</v>
      </c>
      <c r="C99" s="33">
        <v>60.3</v>
      </c>
    </row>
    <row r="100" spans="1:3" ht="14" x14ac:dyDescent="0.15">
      <c r="A100" s="7">
        <v>45999</v>
      </c>
      <c r="B100" s="16">
        <v>12.52</v>
      </c>
      <c r="C100" s="32">
        <v>60.5</v>
      </c>
    </row>
    <row r="101" spans="1:3" ht="14" x14ac:dyDescent="0.15">
      <c r="A101" s="7">
        <v>46000</v>
      </c>
      <c r="B101" s="16">
        <f>12+4.02+3+3</f>
        <v>22.02</v>
      </c>
      <c r="C101" s="29">
        <v>60.2</v>
      </c>
    </row>
    <row r="102" spans="1:3" ht="14" x14ac:dyDescent="0.15">
      <c r="A102" s="7">
        <v>46001</v>
      </c>
      <c r="B102" s="16">
        <v>0</v>
      </c>
      <c r="C102" s="29">
        <v>60.2</v>
      </c>
    </row>
    <row r="103" spans="1:3" ht="14" x14ac:dyDescent="0.15">
      <c r="A103" s="7">
        <v>46002</v>
      </c>
      <c r="B103" s="16">
        <f>13+7.9</f>
        <v>20.9</v>
      </c>
      <c r="C103" s="29">
        <v>60.4</v>
      </c>
    </row>
    <row r="104" spans="1:3" ht="14" x14ac:dyDescent="0.15">
      <c r="A104" s="7">
        <v>46003</v>
      </c>
      <c r="B104" s="16">
        <f>11.5+8</f>
        <v>19.5</v>
      </c>
      <c r="C104" s="29">
        <v>59.4</v>
      </c>
    </row>
    <row r="105" spans="1:3" ht="14" x14ac:dyDescent="0.15">
      <c r="A105" s="7">
        <v>46004</v>
      </c>
      <c r="B105" s="16">
        <f>3.78+2.01+2.01+2+4.01+11</f>
        <v>24.81</v>
      </c>
      <c r="C105" s="29">
        <v>59.7</v>
      </c>
    </row>
    <row r="106" spans="1:3" ht="14" x14ac:dyDescent="0.15">
      <c r="A106" s="19">
        <v>46005</v>
      </c>
      <c r="B106" s="16">
        <f>17+9</f>
        <v>26</v>
      </c>
      <c r="C106" s="29">
        <v>59.9</v>
      </c>
    </row>
    <row r="107" spans="1:3" ht="14" x14ac:dyDescent="0.15">
      <c r="A107" s="7">
        <v>46006</v>
      </c>
      <c r="B107" s="15">
        <v>11.5</v>
      </c>
      <c r="C107" s="34">
        <v>60.1</v>
      </c>
    </row>
    <row r="108" spans="1:3" ht="14" x14ac:dyDescent="0.15">
      <c r="A108" s="7">
        <v>46007</v>
      </c>
      <c r="B108" s="15">
        <v>12</v>
      </c>
      <c r="C108" s="34">
        <v>60.2</v>
      </c>
    </row>
    <row r="109" spans="1:3" ht="14" x14ac:dyDescent="0.15">
      <c r="A109" s="7">
        <v>46008</v>
      </c>
      <c r="B109" s="15">
        <f>3.4+3.2+3.8</f>
        <v>10.399999999999999</v>
      </c>
      <c r="C109" s="34">
        <v>59.7</v>
      </c>
    </row>
    <row r="110" spans="1:3" ht="14" x14ac:dyDescent="0.15">
      <c r="A110" s="7">
        <v>46009</v>
      </c>
      <c r="B110" s="15">
        <f>12+9</f>
        <v>21</v>
      </c>
      <c r="C110" s="34">
        <v>60.1</v>
      </c>
    </row>
    <row r="111" spans="1:3" ht="14" x14ac:dyDescent="0.15">
      <c r="A111" s="7">
        <v>46010</v>
      </c>
      <c r="B111" s="15">
        <f>11+9.76</f>
        <v>20.759999999999998</v>
      </c>
      <c r="C111" s="34">
        <v>60.2</v>
      </c>
    </row>
    <row r="112" spans="1:3" ht="14" x14ac:dyDescent="0.15">
      <c r="A112" s="7">
        <v>46011</v>
      </c>
      <c r="B112" s="15">
        <f>10+14</f>
        <v>24</v>
      </c>
      <c r="C112" s="34">
        <v>60</v>
      </c>
    </row>
    <row r="113" spans="1:3" ht="14" x14ac:dyDescent="0.15">
      <c r="A113" s="19">
        <v>46012</v>
      </c>
      <c r="B113" s="15">
        <v>16</v>
      </c>
      <c r="C113" s="34">
        <v>59.8</v>
      </c>
    </row>
    <row r="114" spans="1:3" ht="14" x14ac:dyDescent="0.15">
      <c r="A114" s="7">
        <v>46013</v>
      </c>
      <c r="B114" s="12">
        <f>11.5+10</f>
        <v>21.5</v>
      </c>
      <c r="C114" s="35">
        <v>60.2</v>
      </c>
    </row>
    <row r="115" spans="1:3" ht="14" x14ac:dyDescent="0.15">
      <c r="A115" s="7">
        <v>46014</v>
      </c>
      <c r="B115" s="12">
        <f>12+10</f>
        <v>22</v>
      </c>
      <c r="C115" s="35">
        <v>60.3</v>
      </c>
    </row>
    <row r="116" spans="1:3" ht="14" x14ac:dyDescent="0.15">
      <c r="A116" s="7">
        <v>46015</v>
      </c>
      <c r="B116" s="12">
        <v>14</v>
      </c>
      <c r="C116" s="35">
        <v>59.7</v>
      </c>
    </row>
    <row r="117" spans="1:3" ht="14" x14ac:dyDescent="0.15">
      <c r="A117" s="7">
        <v>46016</v>
      </c>
      <c r="B117" s="12">
        <v>19.5</v>
      </c>
      <c r="C117" s="35">
        <v>61.7</v>
      </c>
    </row>
    <row r="118" spans="1:3" ht="14" x14ac:dyDescent="0.15">
      <c r="A118" s="7">
        <v>46017</v>
      </c>
      <c r="B118" s="12">
        <f>11.5+10</f>
        <v>21.5</v>
      </c>
      <c r="C118" s="35">
        <v>60.7</v>
      </c>
    </row>
    <row r="119" spans="1:3" ht="14" x14ac:dyDescent="0.15">
      <c r="A119" s="7">
        <v>46018</v>
      </c>
      <c r="B119" s="12">
        <f>5+5+2.5</f>
        <v>12.5</v>
      </c>
      <c r="C119" s="35">
        <v>60.3</v>
      </c>
    </row>
    <row r="120" spans="1:3" ht="14" x14ac:dyDescent="0.15">
      <c r="A120" s="19">
        <v>46019</v>
      </c>
      <c r="B120" s="12">
        <f>16.8+12</f>
        <v>28.8</v>
      </c>
      <c r="C120" s="35">
        <v>60.6</v>
      </c>
    </row>
    <row r="121" spans="1:3" ht="14" x14ac:dyDescent="0.15">
      <c r="A121" s="7">
        <v>46020</v>
      </c>
      <c r="B121" s="18">
        <v>10</v>
      </c>
      <c r="C121" s="25">
        <v>60.2</v>
      </c>
    </row>
    <row r="122" spans="1:3" ht="14" x14ac:dyDescent="0.15">
      <c r="A122" s="7">
        <v>46021</v>
      </c>
      <c r="B122" s="18">
        <v>0</v>
      </c>
      <c r="C122" s="25">
        <v>60.6</v>
      </c>
    </row>
    <row r="123" spans="1:3" ht="14" x14ac:dyDescent="0.15">
      <c r="A123" s="7">
        <v>46022</v>
      </c>
      <c r="B123" s="18">
        <f>5+10</f>
        <v>15</v>
      </c>
      <c r="C123" s="25">
        <v>60.9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2025</vt:lpstr>
      <vt:lpstr>2026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Rafael Caro Barrera</cp:lastModifiedBy>
  <dcterms:modified xsi:type="dcterms:W3CDTF">2026-08-28T16:03:45Z</dcterms:modified>
</cp:coreProperties>
</file>